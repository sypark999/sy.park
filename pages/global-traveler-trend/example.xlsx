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<sst xmlns="http://schemas.openxmlformats.org/spreadsheetml/2006/main" count="246" uniqueCount="59">
  <si>
    <t>월간 예약/대기 건수 vs. 실제 한국 입국 관광객 비교</t>
  </si>
  <si>
    <t>*캐테 내 예약 건수 100건 미만 / 유입 관광객 수 10위권 밖은 미표기</t>
  </si>
  <si>
    <t>*5월 방한 관광객 특징</t>
  </si>
  <si>
    <t>5월 방한객은 163만 명 - 전년 동월 141만 명 대비 14.9% 증가</t>
  </si>
  <si>
    <t>가장 많은 방한객을 기록한 시장은 중국(48.4만 명)이며, 이어 일본 (29.2만 명), 대만 (15.0만 명), 미국 (13.2만 명), 필리핀(6.1만 명) 수준</t>
  </si>
  <si>
    <t>대만, 미국, 필리핀 시장은 19년 동월 대비 각각 47.6%, 38.1%, 19.8% 증가하였으며, 중국과 일본 시장은 19년 동월 대비 각각 96.8%, 101.9% 수준으로 회복</t>
  </si>
  <si>
    <t>1-5월 방한객은 721만 명으로 전년 동기 대비 14.7% 증가, 시장 별로는 중국(205만 명), 일본(133만 명), 대만(70만 명), 미국(56만 명), 필리핀(26만 명) 순</t>
  </si>
  <si>
    <t>-&gt; 중국 관광객은 전체 방한객 중 29.6% 차지</t>
  </si>
  <si>
    <t>but 캐테 글로벌 예약, 대기 점유율은 약 6.3%에 불과 (같은 기준으로 계산 시 일본은 36.5%, 대만은 18.8%)</t>
  </si>
  <si>
    <t>(점유율은 (중국 예약+대기건)/(전체 예약+대기건)으로 단순 계산)</t>
  </si>
  <si>
    <t>3월 대비 4,5월의 (예약+대기)/방문자수는 증가하였으나 그 추이가 꾸준하게 증가하기보다는 등락이 있음.</t>
  </si>
  <si>
    <t>한편 일본도 10% 대에서 8% 대로 하락 -&gt; 일본 유저의 글로벌앱 내 대기, 회원가입 비중이 큰 만큼 인기 매장 변화에 따라 실적 변동이 클 수 있음.</t>
  </si>
  <si>
    <t>대만, 홍콩, 싱가포르는 수치 유지/개선 중</t>
  </si>
  <si>
    <t>raw data</t>
  </si>
  <si>
    <t>3월</t>
  </si>
  <si>
    <t>4월</t>
  </si>
  <si>
    <t>5월</t>
  </si>
  <si>
    <t>6월</t>
  </si>
  <si>
    <t>월간 예약 건수</t>
  </si>
  <si>
    <t>월간 대기 건수</t>
  </si>
  <si>
    <t>관광객 비중</t>
  </si>
  <si>
    <t>(예약+대기)/방문자수</t>
  </si>
  <si>
    <t>US</t>
  </si>
  <si>
    <t>JP</t>
  </si>
  <si>
    <t>중국</t>
  </si>
  <si>
    <t>HK</t>
  </si>
  <si>
    <t>TW</t>
  </si>
  <si>
    <t>일본</t>
  </si>
  <si>
    <t>대만</t>
  </si>
  <si>
    <t>미국</t>
  </si>
  <si>
    <t>SG</t>
  </si>
  <si>
    <t>CN</t>
  </si>
  <si>
    <t>베트남</t>
  </si>
  <si>
    <t>필리핀</t>
  </si>
  <si>
    <t>홍콩</t>
  </si>
  <si>
    <t>AU</t>
  </si>
  <si>
    <t>MY</t>
  </si>
  <si>
    <t>싱가포르</t>
  </si>
  <si>
    <t>TH</t>
  </si>
  <si>
    <t>KR</t>
  </si>
  <si>
    <t>PH</t>
  </si>
  <si>
    <t>CA</t>
  </si>
  <si>
    <t>ID</t>
  </si>
  <si>
    <t>인도네시아</t>
  </si>
  <si>
    <t>GB</t>
  </si>
  <si>
    <t>태국</t>
  </si>
  <si>
    <t>말레이시아</t>
  </si>
  <si>
    <t>DE</t>
  </si>
  <si>
    <t>FR</t>
  </si>
  <si>
    <t>MO</t>
  </si>
  <si>
    <t>IT</t>
  </si>
  <si>
    <t>RU</t>
  </si>
  <si>
    <t>NL</t>
  </si>
  <si>
    <t>SA</t>
  </si>
  <si>
    <t>CH</t>
  </si>
  <si>
    <t>ES</t>
  </si>
  <si>
    <t>VN</t>
  </si>
  <si>
    <t>MX</t>
  </si>
  <si>
    <t>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</si>
</sst>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"/>
  </numFmts>
  <fonts count="10">
    <font>
      <sz val="10.0"/>
      <color rgb="FF000000"/>
      <name val="Arial"/>
      <scheme val="minor"/>
    </font>
    <font>
      <sz val="11.0"/>
      <color theme="1"/>
      <name val="Arial"/>
    </font>
    <font>
      <b/>
      <sz val="12.0"/>
      <color theme="1"/>
      <name val="Noto Sans KR"/>
    </font>
    <font/>
    <font>
      <color theme="1"/>
      <name val="Noto Sans KR"/>
    </font>
    <font>
      <u/>
      <color theme="1"/>
      <name val="Noto Sans KR"/>
    </font>
    <font>
      <b/>
      <color rgb="FFFF0000"/>
      <name val="Noto Sans KR"/>
    </font>
    <font>
      <color rgb="FFFF0000"/>
      <name val="Noto Sans KR"/>
    </font>
    <font>
      <b/>
      <color theme="1"/>
      <name val="Noto Sans KR"/>
    </font>
    <font>
      <sz val="11.0"/>
      <color theme="1"/>
      <name val="Noto Sans K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4" numFmtId="3" xfId="0" applyAlignment="1" applyBorder="1" applyFont="1" applyNumberFormat="1">
      <alignment horizontal="center"/>
    </xf>
    <xf borderId="4" fillId="0" fontId="8" numFmtId="3" xfId="0" applyAlignment="1" applyBorder="1" applyFont="1" applyNumberFormat="1">
      <alignment horizontal="center"/>
    </xf>
    <xf borderId="4" fillId="0" fontId="8" numFmtId="10" xfId="0" applyAlignment="1" applyBorder="1" applyFont="1" applyNumberFormat="1">
      <alignment horizontal="center"/>
    </xf>
    <xf borderId="4" fillId="0" fontId="4" numFmtId="0" xfId="0" applyAlignment="1" applyBorder="1" applyFont="1">
      <alignment horizontal="center"/>
    </xf>
    <xf borderId="4" fillId="0" fontId="4" numFmtId="10" xfId="0" applyAlignment="1" applyBorder="1" applyFont="1" applyNumberFormat="1">
      <alignment horizontal="center"/>
    </xf>
    <xf borderId="4" fillId="0" fontId="4" numFmtId="16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2" t="s">
        <v>0</v>
      </c>
      <c r="C2" s="3"/>
      <c r="D2" s="3"/>
      <c r="E2" s="3"/>
      <c r="F2" s="3"/>
      <c r="G2" s="3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1"/>
      <c r="B3" s="5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/>
      <c r="B5" s="6" t="s">
        <v>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5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5" t="s">
        <v>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5" t="s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5" t="s">
        <v>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7" t="s">
        <v>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8" t="s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5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5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9" t="s">
        <v>11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5" t="s">
        <v>12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5" t="s">
        <v>13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0" t="s">
        <v>14</v>
      </c>
      <c r="C19" s="3"/>
      <c r="D19" s="3"/>
      <c r="E19" s="3"/>
      <c r="F19" s="3"/>
      <c r="G19" s="3"/>
      <c r="H19" s="3"/>
      <c r="I19" s="3"/>
      <c r="J19" s="4"/>
      <c r="K19" s="1"/>
      <c r="L19" s="10" t="s">
        <v>15</v>
      </c>
      <c r="M19" s="3"/>
      <c r="N19" s="3"/>
      <c r="O19" s="3"/>
      <c r="P19" s="3"/>
      <c r="Q19" s="3"/>
      <c r="R19" s="3"/>
      <c r="S19" s="3"/>
      <c r="T19" s="4"/>
      <c r="U19" s="1"/>
      <c r="V19" s="10" t="s">
        <v>16</v>
      </c>
      <c r="W19" s="3"/>
      <c r="X19" s="3"/>
      <c r="Y19" s="3"/>
      <c r="Z19" s="3"/>
      <c r="AA19" s="3"/>
      <c r="AB19" s="3"/>
      <c r="AC19" s="3"/>
      <c r="AD19" s="4"/>
      <c r="AE19" s="1"/>
      <c r="AF19" s="10" t="s">
        <v>17</v>
      </c>
      <c r="AG19" s="3"/>
      <c r="AH19" s="3"/>
      <c r="AI19" s="3"/>
      <c r="AJ19" s="3"/>
      <c r="AK19" s="3"/>
      <c r="AL19" s="3"/>
      <c r="AM19" s="4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0" t="s">
        <v>18</v>
      </c>
      <c r="C20" s="4"/>
      <c r="D20" s="1"/>
      <c r="E20" s="10" t="s">
        <v>19</v>
      </c>
      <c r="F20" s="4"/>
      <c r="G20" s="1"/>
      <c r="H20" s="10" t="s">
        <v>20</v>
      </c>
      <c r="I20" s="4"/>
      <c r="J20" s="11" t="s">
        <v>21</v>
      </c>
      <c r="K20" s="1"/>
      <c r="L20" s="10" t="s">
        <v>18</v>
      </c>
      <c r="M20" s="4"/>
      <c r="N20" s="1"/>
      <c r="O20" s="10" t="s">
        <v>19</v>
      </c>
      <c r="P20" s="4"/>
      <c r="Q20" s="1"/>
      <c r="R20" s="10" t="s">
        <v>20</v>
      </c>
      <c r="S20" s="4"/>
      <c r="T20" s="11" t="s">
        <v>21</v>
      </c>
      <c r="U20" s="1"/>
      <c r="V20" s="10" t="s">
        <v>18</v>
      </c>
      <c r="W20" s="4"/>
      <c r="X20" s="1"/>
      <c r="Y20" s="10" t="s">
        <v>19</v>
      </c>
      <c r="Z20" s="4"/>
      <c r="AA20" s="1"/>
      <c r="AB20" s="10" t="s">
        <v>20</v>
      </c>
      <c r="AC20" s="4"/>
      <c r="AD20" s="11" t="s">
        <v>21</v>
      </c>
      <c r="AE20" s="1"/>
      <c r="AF20" s="10" t="s">
        <v>18</v>
      </c>
      <c r="AG20" s="4"/>
      <c r="AH20" s="1"/>
      <c r="AI20" s="10" t="s">
        <v>19</v>
      </c>
      <c r="AJ20" s="4"/>
      <c r="AK20" s="1"/>
      <c r="AL20" s="10" t="s">
        <v>20</v>
      </c>
      <c r="AM20" s="4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2" t="s">
        <v>22</v>
      </c>
      <c r="C21" s="12">
        <v>5651.0</v>
      </c>
      <c r="D21" s="1"/>
      <c r="E21" s="12" t="s">
        <v>23</v>
      </c>
      <c r="F21" s="12">
        <v>37389.0</v>
      </c>
      <c r="G21" s="1"/>
      <c r="H21" s="13" t="s">
        <v>24</v>
      </c>
      <c r="I21" s="13">
        <v>416849.0</v>
      </c>
      <c r="J21" s="14">
        <f>(SUMIF(B:B, "cn", C:C) + SUMIF(E:E, "cn", F:F))/I21</f>
        <v>0.01632725519</v>
      </c>
      <c r="K21" s="1"/>
      <c r="L21" s="15" t="s">
        <v>25</v>
      </c>
      <c r="M21" s="12">
        <v>6193.0</v>
      </c>
      <c r="N21" s="1"/>
      <c r="O21" s="15" t="s">
        <v>23</v>
      </c>
      <c r="P21" s="12">
        <v>20208.0</v>
      </c>
      <c r="Q21" s="1"/>
      <c r="R21" s="13" t="s">
        <v>24</v>
      </c>
      <c r="S21" s="13">
        <v>443230.0</v>
      </c>
      <c r="T21" s="14">
        <f>(SUMIF(L:L, "cn", M:M) + SUMIF(O:O, "cn", P:P))/S21</f>
        <v>0.02349795817</v>
      </c>
      <c r="U21" s="1"/>
      <c r="V21" s="15" t="s">
        <v>22</v>
      </c>
      <c r="W21" s="12">
        <v>5105.0</v>
      </c>
      <c r="X21" s="1"/>
      <c r="Y21" s="15" t="s">
        <v>23</v>
      </c>
      <c r="Z21" s="12">
        <v>22828.0</v>
      </c>
      <c r="AA21" s="1"/>
      <c r="AB21" s="13" t="s">
        <v>24</v>
      </c>
      <c r="AC21" s="13">
        <v>484390.0</v>
      </c>
      <c r="AD21" s="14">
        <f>(SUMIF(V:V, "cn", W:W) + SUMIF(Y:Y, "cn", Z:Z))/AC21</f>
        <v>0.02167881253</v>
      </c>
      <c r="AE21" s="1"/>
      <c r="AF21" s="15" t="s">
        <v>25</v>
      </c>
      <c r="AG21" s="12">
        <v>4702.0</v>
      </c>
      <c r="AH21" s="1"/>
      <c r="AI21" s="15" t="s">
        <v>23</v>
      </c>
      <c r="AJ21" s="12">
        <v>24764.0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2" t="s">
        <v>25</v>
      </c>
      <c r="C22" s="12">
        <v>4731.0</v>
      </c>
      <c r="D22" s="1"/>
      <c r="E22" s="12" t="s">
        <v>26</v>
      </c>
      <c r="F22" s="12">
        <v>16881.0</v>
      </c>
      <c r="G22" s="1"/>
      <c r="H22" s="13" t="s">
        <v>27</v>
      </c>
      <c r="I22" s="13">
        <v>383312.0</v>
      </c>
      <c r="J22" s="14">
        <f>(SUMIF(B:B, "jp", C:C) + SUMIF(E:E, "jp", F:F))/I22</f>
        <v>0.1038683892</v>
      </c>
      <c r="K22" s="1"/>
      <c r="L22" s="15" t="s">
        <v>22</v>
      </c>
      <c r="M22" s="12">
        <v>5652.0</v>
      </c>
      <c r="N22" s="1"/>
      <c r="O22" s="15" t="s">
        <v>26</v>
      </c>
      <c r="P22" s="12">
        <v>18937.0</v>
      </c>
      <c r="Q22" s="1"/>
      <c r="R22" s="13" t="s">
        <v>27</v>
      </c>
      <c r="S22" s="13">
        <v>257903.0</v>
      </c>
      <c r="T22" s="14">
        <f>(SUMIF(L:L, "jp", M:M) + SUMIF(O:O, "jp", P:P))/S22</f>
        <v>0.08894041558</v>
      </c>
      <c r="U22" s="1"/>
      <c r="V22" s="15" t="s">
        <v>25</v>
      </c>
      <c r="W22" s="12">
        <v>4861.0</v>
      </c>
      <c r="X22" s="1"/>
      <c r="Y22" s="15" t="s">
        <v>26</v>
      </c>
      <c r="Z22" s="12">
        <v>20047.0</v>
      </c>
      <c r="AA22" s="1"/>
      <c r="AB22" s="13" t="s">
        <v>27</v>
      </c>
      <c r="AC22" s="13">
        <v>291626.0</v>
      </c>
      <c r="AD22" s="14">
        <f>(SUMIF(V:V, "jp", W:W) + SUMIF(Y:Y, "jp", Z:Z))/AC22</f>
        <v>0.0879688368</v>
      </c>
      <c r="AE22" s="1"/>
      <c r="AF22" s="15" t="s">
        <v>22</v>
      </c>
      <c r="AG22" s="12">
        <v>4511.0</v>
      </c>
      <c r="AH22" s="1"/>
      <c r="AI22" s="15" t="s">
        <v>26</v>
      </c>
      <c r="AJ22" s="12">
        <v>21850.0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2" t="s">
        <v>26</v>
      </c>
      <c r="C23" s="12">
        <v>3680.0</v>
      </c>
      <c r="D23" s="1"/>
      <c r="E23" s="12" t="s">
        <v>25</v>
      </c>
      <c r="F23" s="12">
        <v>6617.0</v>
      </c>
      <c r="G23" s="1"/>
      <c r="H23" s="12" t="s">
        <v>28</v>
      </c>
      <c r="I23" s="12">
        <v>140017.0</v>
      </c>
      <c r="J23" s="16">
        <f>(SUMIF(B:B, "tw", C:C) + SUMIF(E:E, "tw", F:F))/I23</f>
        <v>0.1468464544</v>
      </c>
      <c r="K23" s="1"/>
      <c r="L23" s="15" t="s">
        <v>26</v>
      </c>
      <c r="M23" s="12">
        <v>3955.0</v>
      </c>
      <c r="N23" s="1"/>
      <c r="O23" s="15" t="s">
        <v>25</v>
      </c>
      <c r="P23" s="12">
        <v>10423.0</v>
      </c>
      <c r="Q23" s="1"/>
      <c r="R23" s="12" t="s">
        <v>29</v>
      </c>
      <c r="S23" s="12">
        <v>153381.0</v>
      </c>
      <c r="T23" s="16">
        <f>(SUMIF(L:L, "us", M:M) + SUMIF(O:O, "us", P:P))/S23</f>
        <v>0.06479942105</v>
      </c>
      <c r="U23" s="1"/>
      <c r="V23" s="15" t="s">
        <v>26</v>
      </c>
      <c r="W23" s="12">
        <v>3970.0</v>
      </c>
      <c r="X23" s="1"/>
      <c r="Y23" s="15" t="s">
        <v>25</v>
      </c>
      <c r="Z23" s="12">
        <v>8891.0</v>
      </c>
      <c r="AA23" s="1"/>
      <c r="AB23" s="12" t="s">
        <v>28</v>
      </c>
      <c r="AC23" s="12">
        <v>150272.0</v>
      </c>
      <c r="AD23" s="16">
        <f>(SUMIF(V:V, "tw", W:W) + SUMIF(Y:Y, "tw", Z:Z))/AC23</f>
        <v>0.15982352</v>
      </c>
      <c r="AE23" s="1"/>
      <c r="AF23" s="15" t="s">
        <v>26</v>
      </c>
      <c r="AG23" s="12">
        <v>3799.0</v>
      </c>
      <c r="AH23" s="1"/>
      <c r="AI23" s="15" t="s">
        <v>25</v>
      </c>
      <c r="AJ23" s="12">
        <v>9666.0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2" t="s">
        <v>30</v>
      </c>
      <c r="C24" s="12">
        <v>3302.0</v>
      </c>
      <c r="D24" s="1"/>
      <c r="E24" s="12" t="s">
        <v>31</v>
      </c>
      <c r="F24" s="12">
        <v>4720.0</v>
      </c>
      <c r="G24" s="1"/>
      <c r="H24" s="12" t="s">
        <v>29</v>
      </c>
      <c r="I24" s="12">
        <v>132117.0</v>
      </c>
      <c r="J24" s="16">
        <f>(SUMIF(B:B, "us", C:C) + SUMIF(E:E, "us", F:F))/I24</f>
        <v>0.06662276618</v>
      </c>
      <c r="K24" s="1"/>
      <c r="L24" s="15" t="s">
        <v>30</v>
      </c>
      <c r="M24" s="12">
        <v>3330.0</v>
      </c>
      <c r="N24" s="1"/>
      <c r="O24" s="15" t="s">
        <v>31</v>
      </c>
      <c r="P24" s="12">
        <v>7405.0</v>
      </c>
      <c r="Q24" s="1"/>
      <c r="R24" s="12" t="s">
        <v>28</v>
      </c>
      <c r="S24" s="12">
        <v>151613.0</v>
      </c>
      <c r="T24" s="16">
        <f>(SUMIF(L:L, "tw", M:M) + SUMIF(O:O, "tw", P:P))/S24</f>
        <v>0.1509896909</v>
      </c>
      <c r="U24" s="1"/>
      <c r="V24" s="15" t="s">
        <v>23</v>
      </c>
      <c r="W24" s="12">
        <v>2826.0</v>
      </c>
      <c r="X24" s="1"/>
      <c r="Y24" s="15" t="s">
        <v>31</v>
      </c>
      <c r="Z24" s="12">
        <v>7827.0</v>
      </c>
      <c r="AA24" s="1"/>
      <c r="AB24" s="12" t="s">
        <v>29</v>
      </c>
      <c r="AC24" s="12">
        <v>132324.0</v>
      </c>
      <c r="AD24" s="16">
        <f>(SUMIF(V:V, "us", W:W) + SUMIF(Y:Y, "us", Z:Z))/AC24</f>
        <v>0.06967745836</v>
      </c>
      <c r="AE24" s="1"/>
      <c r="AF24" s="15" t="s">
        <v>31</v>
      </c>
      <c r="AG24" s="12">
        <v>2883.0</v>
      </c>
      <c r="AH24" s="1"/>
      <c r="AI24" s="15" t="s">
        <v>31</v>
      </c>
      <c r="AJ24" s="12">
        <v>7099.0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2" t="s">
        <v>23</v>
      </c>
      <c r="C25" s="12">
        <v>2425.0</v>
      </c>
      <c r="D25" s="1"/>
      <c r="E25" s="12" t="s">
        <v>30</v>
      </c>
      <c r="F25" s="12">
        <v>4084.0</v>
      </c>
      <c r="G25" s="1"/>
      <c r="H25" s="12" t="s">
        <v>32</v>
      </c>
      <c r="I25" s="12">
        <v>52874.0</v>
      </c>
      <c r="J25" s="16">
        <f>(SUMIF(B:B, "vn", C:C) + SUMIF(E:E, "vn", F:F))/I25</f>
        <v>0.002420849567</v>
      </c>
      <c r="K25" s="1"/>
      <c r="L25" s="15" t="s">
        <v>31</v>
      </c>
      <c r="M25" s="12">
        <v>3010.0</v>
      </c>
      <c r="N25" s="1"/>
      <c r="O25" s="15" t="s">
        <v>30</v>
      </c>
      <c r="P25" s="12">
        <v>5880.0</v>
      </c>
      <c r="Q25" s="1"/>
      <c r="R25" s="12" t="s">
        <v>33</v>
      </c>
      <c r="S25" s="12">
        <v>69393.0</v>
      </c>
      <c r="T25" s="16">
        <f>(SUMIF(L:L, "ph", M:M) + SUMIF(O:O, "ph", P:P))/S25</f>
        <v>0.02335970487</v>
      </c>
      <c r="U25" s="1"/>
      <c r="V25" s="15" t="s">
        <v>30</v>
      </c>
      <c r="W25" s="12">
        <v>2791.0</v>
      </c>
      <c r="X25" s="1"/>
      <c r="Y25" s="15" t="s">
        <v>30</v>
      </c>
      <c r="Z25" s="12">
        <v>6596.0</v>
      </c>
      <c r="AA25" s="1"/>
      <c r="AB25" s="12" t="s">
        <v>33</v>
      </c>
      <c r="AC25" s="12">
        <v>60559.0</v>
      </c>
      <c r="AD25" s="16">
        <f>(SUMIF(V:V, "ph", W:W) + SUMIF(Y:Y, "ph", Z:Z))/AC25</f>
        <v>0.02017866874</v>
      </c>
      <c r="AE25" s="1"/>
      <c r="AF25" s="15" t="s">
        <v>23</v>
      </c>
      <c r="AG25" s="12">
        <v>2787.0</v>
      </c>
      <c r="AH25" s="1"/>
      <c r="AI25" s="15" t="s">
        <v>30</v>
      </c>
      <c r="AJ25" s="12">
        <v>5472.0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2" t="s">
        <v>31</v>
      </c>
      <c r="C26" s="12">
        <v>2086.0</v>
      </c>
      <c r="D26" s="1"/>
      <c r="E26" s="12" t="s">
        <v>22</v>
      </c>
      <c r="F26" s="12">
        <v>3151.0</v>
      </c>
      <c r="G26" s="1"/>
      <c r="H26" s="12" t="s">
        <v>34</v>
      </c>
      <c r="I26" s="12">
        <v>44030.0</v>
      </c>
      <c r="J26" s="16">
        <f>(SUMIF(B:B, "hk", C:C) + SUMIF(E:E, "hk", F:F))/I26</f>
        <v>0.2577333636</v>
      </c>
      <c r="K26" s="1"/>
      <c r="L26" s="15" t="s">
        <v>23</v>
      </c>
      <c r="M26" s="12">
        <v>2730.0</v>
      </c>
      <c r="N26" s="1"/>
      <c r="O26" s="15" t="s">
        <v>22</v>
      </c>
      <c r="P26" s="12">
        <v>4287.0</v>
      </c>
      <c r="Q26" s="1"/>
      <c r="R26" s="12" t="s">
        <v>34</v>
      </c>
      <c r="S26" s="12">
        <v>64591.0</v>
      </c>
      <c r="T26" s="16">
        <f>(SUMIF(L:L, "hk", M:M) + SUMIF(O:O, "hk", P:P))/S26</f>
        <v>0.257249462</v>
      </c>
      <c r="U26" s="1"/>
      <c r="V26" s="15" t="s">
        <v>31</v>
      </c>
      <c r="W26" s="12">
        <v>2674.0</v>
      </c>
      <c r="X26" s="1"/>
      <c r="Y26" s="15" t="s">
        <v>22</v>
      </c>
      <c r="Z26" s="12">
        <v>4115.0</v>
      </c>
      <c r="AA26" s="1"/>
      <c r="AB26" s="12" t="s">
        <v>34</v>
      </c>
      <c r="AC26" s="12">
        <v>51363.0</v>
      </c>
      <c r="AD26" s="16">
        <f>(SUMIF(V:V, "hk", W:W) + SUMIF(Y:Y, "hk", Z:Z))/AC26</f>
        <v>0.2677413702</v>
      </c>
      <c r="AE26" s="1"/>
      <c r="AF26" s="15" t="s">
        <v>30</v>
      </c>
      <c r="AG26" s="12">
        <v>1917.0</v>
      </c>
      <c r="AH26" s="1"/>
      <c r="AI26" s="15" t="s">
        <v>22</v>
      </c>
      <c r="AJ26" s="12">
        <v>5279.0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2" t="s">
        <v>35</v>
      </c>
      <c r="C27" s="12">
        <v>853.0</v>
      </c>
      <c r="D27" s="1"/>
      <c r="E27" s="12" t="s">
        <v>36</v>
      </c>
      <c r="F27" s="12">
        <v>1320.0</v>
      </c>
      <c r="G27" s="1"/>
      <c r="H27" s="15" t="s">
        <v>37</v>
      </c>
      <c r="I27" s="12">
        <v>36370.0</v>
      </c>
      <c r="J27" s="16">
        <f>(SUMIF(B:B, "sg", C:C) + SUMIF(E:E, "sg", F:F))/I27</f>
        <v>0.2030794611</v>
      </c>
      <c r="K27" s="1"/>
      <c r="L27" s="15" t="s">
        <v>35</v>
      </c>
      <c r="M27" s="12">
        <v>1183.0</v>
      </c>
      <c r="N27" s="1"/>
      <c r="O27" s="15" t="s">
        <v>38</v>
      </c>
      <c r="P27" s="12">
        <v>2728.0</v>
      </c>
      <c r="Q27" s="1"/>
      <c r="R27" s="12" t="s">
        <v>37</v>
      </c>
      <c r="S27" s="12">
        <v>37953.0</v>
      </c>
      <c r="T27" s="16">
        <f>(SUMIF(L:L, "sg", M:M) + SUMIF(O:O, "sg", P:P))/S27</f>
        <v>0.2426685637</v>
      </c>
      <c r="U27" s="1"/>
      <c r="V27" s="15" t="s">
        <v>39</v>
      </c>
      <c r="W27" s="12">
        <v>821.0</v>
      </c>
      <c r="X27" s="1"/>
      <c r="Y27" s="15" t="s">
        <v>38</v>
      </c>
      <c r="Z27" s="12">
        <v>1815.0</v>
      </c>
      <c r="AA27" s="1"/>
      <c r="AB27" s="12" t="s">
        <v>37</v>
      </c>
      <c r="AC27" s="12">
        <v>37734.0</v>
      </c>
      <c r="AD27" s="16">
        <f>(SUMIF(V:V, "sg", W:W) + SUMIF(Y:Y, "sg", Z:Z))/AC27</f>
        <v>0.2487676896</v>
      </c>
      <c r="AE27" s="1"/>
      <c r="AF27" s="15" t="s">
        <v>39</v>
      </c>
      <c r="AG27" s="12">
        <v>770.0</v>
      </c>
      <c r="AH27" s="1"/>
      <c r="AI27" s="15" t="s">
        <v>40</v>
      </c>
      <c r="AJ27" s="12">
        <v>1293.0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2" t="s">
        <v>41</v>
      </c>
      <c r="C28" s="12">
        <v>621.0</v>
      </c>
      <c r="D28" s="1"/>
      <c r="E28" s="12" t="s">
        <v>38</v>
      </c>
      <c r="F28" s="12">
        <v>1254.0</v>
      </c>
      <c r="G28" s="1"/>
      <c r="H28" s="15" t="s">
        <v>33</v>
      </c>
      <c r="I28" s="12">
        <v>50973.0</v>
      </c>
      <c r="J28" s="16">
        <f>(SUMIF(B:B, "ph", C:C) + SUMIF(E:E, "ph", F:F))/I28</f>
        <v>0.02244325427</v>
      </c>
      <c r="K28" s="1"/>
      <c r="L28" s="15" t="s">
        <v>39</v>
      </c>
      <c r="M28" s="12">
        <v>789.0</v>
      </c>
      <c r="N28" s="1"/>
      <c r="O28" s="15" t="s">
        <v>36</v>
      </c>
      <c r="P28" s="12">
        <v>2070.0</v>
      </c>
      <c r="Q28" s="1"/>
      <c r="R28" s="12" t="s">
        <v>32</v>
      </c>
      <c r="S28" s="12">
        <v>52792.0</v>
      </c>
      <c r="T28" s="16">
        <f>(SUMIF(L:L, "vn", M:M) + SUMIF(O:O, "vn", P:P))/S28</f>
        <v>0.004186240339</v>
      </c>
      <c r="U28" s="1"/>
      <c r="V28" s="15" t="s">
        <v>35</v>
      </c>
      <c r="W28" s="12">
        <v>727.0</v>
      </c>
      <c r="X28" s="1"/>
      <c r="Y28" s="15" t="s">
        <v>36</v>
      </c>
      <c r="Z28" s="12">
        <v>1695.0</v>
      </c>
      <c r="AA28" s="1"/>
      <c r="AB28" s="12" t="s">
        <v>32</v>
      </c>
      <c r="AC28" s="12">
        <v>41565.0</v>
      </c>
      <c r="AD28" s="16">
        <f>(SUMIF(V:V, "vn", W:W) + SUMIF(Y:Y, "vn", Z:Z))/AC28</f>
        <v>0.003849392518</v>
      </c>
      <c r="AE28" s="1"/>
      <c r="AF28" s="15" t="s">
        <v>35</v>
      </c>
      <c r="AG28" s="12">
        <v>530.0</v>
      </c>
      <c r="AH28" s="1"/>
      <c r="AI28" s="15" t="s">
        <v>38</v>
      </c>
      <c r="AJ28" s="12">
        <v>1265.0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2" t="s">
        <v>39</v>
      </c>
      <c r="C29" s="12">
        <v>615.0</v>
      </c>
      <c r="D29" s="1"/>
      <c r="E29" s="12" t="s">
        <v>42</v>
      </c>
      <c r="F29" s="12">
        <v>1119.0</v>
      </c>
      <c r="G29" s="1"/>
      <c r="H29" s="15" t="s">
        <v>43</v>
      </c>
      <c r="I29" s="17">
        <v>32325.0</v>
      </c>
      <c r="J29" s="16">
        <f>(SUMIF(B:B, "id", C:C) + SUMIF(E:E, "id", F:F))/I29</f>
        <v>0.0486620263</v>
      </c>
      <c r="K29" s="1"/>
      <c r="L29" s="15" t="s">
        <v>41</v>
      </c>
      <c r="M29" s="12">
        <v>786.0</v>
      </c>
      <c r="N29" s="1"/>
      <c r="O29" s="15" t="s">
        <v>35</v>
      </c>
      <c r="P29" s="12">
        <v>1711.0</v>
      </c>
      <c r="Q29" s="1"/>
      <c r="R29" s="15" t="s">
        <v>43</v>
      </c>
      <c r="S29" s="17">
        <v>36580.0</v>
      </c>
      <c r="T29" s="16">
        <f>(SUMIF(L:L, "id", M:M) + SUMIF(O:O, "id", P:P))/S29</f>
        <v>0.05388190268</v>
      </c>
      <c r="U29" s="1"/>
      <c r="V29" s="15" t="s">
        <v>41</v>
      </c>
      <c r="W29" s="12">
        <v>682.0</v>
      </c>
      <c r="X29" s="1"/>
      <c r="Y29" s="15" t="s">
        <v>42</v>
      </c>
      <c r="Z29" s="12">
        <v>1180.0</v>
      </c>
      <c r="AA29" s="1"/>
      <c r="AB29" s="15" t="s">
        <v>43</v>
      </c>
      <c r="AC29" s="17">
        <v>34665.0</v>
      </c>
      <c r="AD29" s="16">
        <f>(SUMIF(V:V, "id", W:W) + SUMIF(Y:Y, "id", Z:Z))/AC29</f>
        <v>0.04217510457</v>
      </c>
      <c r="AE29" s="1"/>
      <c r="AF29" s="15" t="s">
        <v>41</v>
      </c>
      <c r="AG29" s="12">
        <v>472.0</v>
      </c>
      <c r="AH29" s="1"/>
      <c r="AI29" s="15" t="s">
        <v>36</v>
      </c>
      <c r="AJ29" s="12">
        <v>1229.0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2" t="s">
        <v>44</v>
      </c>
      <c r="C30" s="12">
        <v>521.0</v>
      </c>
      <c r="D30" s="1"/>
      <c r="E30" s="12" t="s">
        <v>35</v>
      </c>
      <c r="F30" s="12">
        <v>760.0</v>
      </c>
      <c r="G30" s="1"/>
      <c r="H30" s="15" t="s">
        <v>45</v>
      </c>
      <c r="I30" s="17">
        <v>27942.0</v>
      </c>
      <c r="J30" s="16">
        <f>(SUMIF(B:B, "th", C:C) + SUMIF(E:E, "th", F:F))/I30</f>
        <v>0.05969508267</v>
      </c>
      <c r="K30" s="1"/>
      <c r="L30" s="15" t="s">
        <v>44</v>
      </c>
      <c r="M30" s="12">
        <v>756.0</v>
      </c>
      <c r="N30" s="1"/>
      <c r="O30" s="15" t="s">
        <v>42</v>
      </c>
      <c r="P30" s="12">
        <v>1585.0</v>
      </c>
      <c r="Q30" s="1"/>
      <c r="R30" s="15" t="s">
        <v>45</v>
      </c>
      <c r="S30" s="17">
        <v>40689.0</v>
      </c>
      <c r="T30" s="16">
        <f>(SUMIF(L:L, "th", M:M) + SUMIF(O:O, "th", P:P))/S30</f>
        <v>0.08184030082</v>
      </c>
      <c r="U30" s="1"/>
      <c r="V30" s="15" t="s">
        <v>44</v>
      </c>
      <c r="W30" s="12">
        <v>616.0</v>
      </c>
      <c r="X30" s="1"/>
      <c r="Y30" s="15" t="s">
        <v>35</v>
      </c>
      <c r="Z30" s="12">
        <v>1160.0</v>
      </c>
      <c r="AA30" s="1"/>
      <c r="AB30" s="15" t="s">
        <v>45</v>
      </c>
      <c r="AC30" s="17">
        <v>29480.0</v>
      </c>
      <c r="AD30" s="16">
        <f>(SUMIF(V:V, "th", W:W) + SUMIF(Y:Y, "th", Z:Z))/AC30</f>
        <v>0.07425373134</v>
      </c>
      <c r="AE30" s="1"/>
      <c r="AF30" s="15" t="s">
        <v>40</v>
      </c>
      <c r="AG30" s="12">
        <v>443.0</v>
      </c>
      <c r="AH30" s="1"/>
      <c r="AI30" s="15" t="s">
        <v>35</v>
      </c>
      <c r="AJ30" s="12">
        <v>1052.0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2" t="s">
        <v>42</v>
      </c>
      <c r="C31" s="12">
        <v>454.0</v>
      </c>
      <c r="D31" s="1"/>
      <c r="E31" s="12" t="s">
        <v>39</v>
      </c>
      <c r="F31" s="12">
        <v>715.0</v>
      </c>
      <c r="G31" s="1"/>
      <c r="H31" s="15" t="s">
        <v>46</v>
      </c>
      <c r="I31" s="17">
        <v>24780.0</v>
      </c>
      <c r="J31" s="16">
        <f>(SUMIF(B:B, "my", C:C) + SUMIF(E:E, "my", F:F))/I31</f>
        <v>0.0715496368</v>
      </c>
      <c r="K31" s="1"/>
      <c r="L31" s="15" t="s">
        <v>38</v>
      </c>
      <c r="M31" s="12">
        <v>602.0</v>
      </c>
      <c r="N31" s="1"/>
      <c r="O31" s="15" t="s">
        <v>40</v>
      </c>
      <c r="P31" s="12">
        <v>1074.0</v>
      </c>
      <c r="Q31" s="1"/>
      <c r="R31" s="15" t="s">
        <v>46</v>
      </c>
      <c r="S31" s="17">
        <v>30811.0</v>
      </c>
      <c r="T31" s="16">
        <f>(SUMIF(L:L, "my", M:M) + SUMIF(O:O, "my", P:P))/S31</f>
        <v>0.08208107494</v>
      </c>
      <c r="U31" s="1"/>
      <c r="V31" s="15" t="s">
        <v>40</v>
      </c>
      <c r="W31" s="12">
        <v>427.0</v>
      </c>
      <c r="X31" s="1"/>
      <c r="Y31" s="15" t="s">
        <v>41</v>
      </c>
      <c r="Z31" s="12">
        <v>1026.0</v>
      </c>
      <c r="AA31" s="1"/>
      <c r="AB31" s="15" t="s">
        <v>46</v>
      </c>
      <c r="AC31" s="17">
        <v>27416.0</v>
      </c>
      <c r="AD31" s="16">
        <f>(SUMIF(V:V, "my", W:W) + SUMIF(Y:Y, "my", Z:Z))/AC31</f>
        <v>0.07648818208</v>
      </c>
      <c r="AE31" s="1"/>
      <c r="AF31" s="15" t="s">
        <v>44</v>
      </c>
      <c r="AG31" s="12">
        <v>372.0</v>
      </c>
      <c r="AH31" s="1"/>
      <c r="AI31" s="15" t="s">
        <v>42</v>
      </c>
      <c r="AJ31" s="12">
        <v>990.0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2" t="s">
        <v>36</v>
      </c>
      <c r="C32" s="12">
        <v>453.0</v>
      </c>
      <c r="D32" s="1"/>
      <c r="E32" s="12" t="s">
        <v>40</v>
      </c>
      <c r="F32" s="12">
        <v>692.0</v>
      </c>
      <c r="G32" s="1"/>
      <c r="H32" s="1"/>
      <c r="I32" s="1"/>
      <c r="J32" s="1"/>
      <c r="K32" s="1"/>
      <c r="L32" s="15" t="s">
        <v>40</v>
      </c>
      <c r="M32" s="12">
        <v>547.0</v>
      </c>
      <c r="N32" s="1"/>
      <c r="O32" s="15" t="s">
        <v>39</v>
      </c>
      <c r="P32" s="12">
        <v>784.0</v>
      </c>
      <c r="Q32" s="1"/>
      <c r="R32" s="1"/>
      <c r="S32" s="1"/>
      <c r="T32" s="1"/>
      <c r="U32" s="1"/>
      <c r="V32" s="15" t="s">
        <v>36</v>
      </c>
      <c r="W32" s="12">
        <v>402.0</v>
      </c>
      <c r="X32" s="1"/>
      <c r="Y32" s="15" t="s">
        <v>39</v>
      </c>
      <c r="Z32" s="12">
        <v>863.0</v>
      </c>
      <c r="AA32" s="1"/>
      <c r="AB32" s="1"/>
      <c r="AC32" s="1"/>
      <c r="AD32" s="1"/>
      <c r="AE32" s="1"/>
      <c r="AF32" s="15" t="s">
        <v>38</v>
      </c>
      <c r="AG32" s="12">
        <v>269.0</v>
      </c>
      <c r="AH32" s="1"/>
      <c r="AI32" s="15" t="s">
        <v>39</v>
      </c>
      <c r="AJ32" s="12">
        <v>803.0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2" t="s">
        <v>40</v>
      </c>
      <c r="C33" s="12">
        <v>452.0</v>
      </c>
      <c r="D33" s="1"/>
      <c r="E33" s="12" t="s">
        <v>41</v>
      </c>
      <c r="F33" s="12">
        <v>549.0</v>
      </c>
      <c r="G33" s="1"/>
      <c r="H33" s="1"/>
      <c r="I33" s="1"/>
      <c r="J33" s="1"/>
      <c r="K33" s="1"/>
      <c r="L33" s="15" t="s">
        <v>36</v>
      </c>
      <c r="M33" s="12">
        <v>459.0</v>
      </c>
      <c r="N33" s="1"/>
      <c r="O33" s="15" t="s">
        <v>41</v>
      </c>
      <c r="P33" s="12">
        <v>769.0</v>
      </c>
      <c r="Q33" s="1"/>
      <c r="R33" s="1"/>
      <c r="S33" s="1"/>
      <c r="T33" s="1"/>
      <c r="U33" s="1"/>
      <c r="V33" s="15" t="s">
        <v>38</v>
      </c>
      <c r="W33" s="12">
        <v>374.0</v>
      </c>
      <c r="X33" s="1"/>
      <c r="Y33" s="15" t="s">
        <v>40</v>
      </c>
      <c r="Z33" s="12">
        <v>795.0</v>
      </c>
      <c r="AA33" s="1"/>
      <c r="AB33" s="1"/>
      <c r="AC33" s="1"/>
      <c r="AD33" s="1"/>
      <c r="AE33" s="1"/>
      <c r="AF33" s="15" t="s">
        <v>36</v>
      </c>
      <c r="AG33" s="12">
        <v>251.0</v>
      </c>
      <c r="AH33" s="1"/>
      <c r="AI33" s="15" t="s">
        <v>41</v>
      </c>
      <c r="AJ33" s="12">
        <v>788.0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2" t="s">
        <v>38</v>
      </c>
      <c r="C34" s="12">
        <v>414.0</v>
      </c>
      <c r="D34" s="1"/>
      <c r="E34" s="12" t="s">
        <v>47</v>
      </c>
      <c r="F34" s="12">
        <v>442.0</v>
      </c>
      <c r="G34" s="1"/>
      <c r="H34" s="1"/>
      <c r="I34" s="1"/>
      <c r="J34" s="1"/>
      <c r="K34" s="1"/>
      <c r="L34" s="15" t="s">
        <v>48</v>
      </c>
      <c r="M34" s="12">
        <v>399.0</v>
      </c>
      <c r="N34" s="1"/>
      <c r="O34" s="15" t="s">
        <v>44</v>
      </c>
      <c r="P34" s="12">
        <v>663.0</v>
      </c>
      <c r="Q34" s="1"/>
      <c r="R34" s="1"/>
      <c r="S34" s="1"/>
      <c r="T34" s="1"/>
      <c r="U34" s="1"/>
      <c r="V34" s="15" t="s">
        <v>48</v>
      </c>
      <c r="W34" s="12">
        <v>342.0</v>
      </c>
      <c r="X34" s="1"/>
      <c r="Y34" s="15" t="s">
        <v>44</v>
      </c>
      <c r="Z34" s="12">
        <v>659.0</v>
      </c>
      <c r="AA34" s="1"/>
      <c r="AB34" s="1"/>
      <c r="AC34" s="1"/>
      <c r="AD34" s="1"/>
      <c r="AE34" s="1"/>
      <c r="AF34" s="15" t="s">
        <v>42</v>
      </c>
      <c r="AG34" s="12">
        <v>206.0</v>
      </c>
      <c r="AH34" s="1"/>
      <c r="AI34" s="15" t="s">
        <v>44</v>
      </c>
      <c r="AJ34" s="12">
        <v>504.0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2" t="s">
        <v>47</v>
      </c>
      <c r="C35" s="12">
        <v>276.0</v>
      </c>
      <c r="D35" s="1"/>
      <c r="E35" s="12" t="s">
        <v>49</v>
      </c>
      <c r="F35" s="12">
        <v>389.0</v>
      </c>
      <c r="G35" s="1"/>
      <c r="H35" s="1"/>
      <c r="I35" s="1"/>
      <c r="J35" s="1"/>
      <c r="K35" s="1"/>
      <c r="L35" s="15" t="s">
        <v>42</v>
      </c>
      <c r="M35" s="12">
        <v>386.0</v>
      </c>
      <c r="N35" s="1"/>
      <c r="O35" s="15" t="s">
        <v>47</v>
      </c>
      <c r="P35" s="12">
        <v>644.0</v>
      </c>
      <c r="Q35" s="1"/>
      <c r="R35" s="1"/>
      <c r="S35" s="1"/>
      <c r="T35" s="1"/>
      <c r="U35" s="1"/>
      <c r="V35" s="15" t="s">
        <v>42</v>
      </c>
      <c r="W35" s="12">
        <v>282.0</v>
      </c>
      <c r="X35" s="1"/>
      <c r="Y35" s="15" t="s">
        <v>48</v>
      </c>
      <c r="Z35" s="12">
        <v>643.0</v>
      </c>
      <c r="AA35" s="1"/>
      <c r="AB35" s="1"/>
      <c r="AC35" s="1"/>
      <c r="AD35" s="1"/>
      <c r="AE35" s="1"/>
      <c r="AF35" s="15" t="s">
        <v>47</v>
      </c>
      <c r="AG35" s="12">
        <v>188.0</v>
      </c>
      <c r="AH35" s="1"/>
      <c r="AI35" s="15" t="s">
        <v>48</v>
      </c>
      <c r="AJ35" s="12">
        <v>437.0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2" t="s">
        <v>48</v>
      </c>
      <c r="C36" s="12">
        <v>244.0</v>
      </c>
      <c r="D36" s="1"/>
      <c r="E36" s="12" t="s">
        <v>44</v>
      </c>
      <c r="F36" s="12">
        <v>356.0</v>
      </c>
      <c r="G36" s="1"/>
      <c r="H36" s="1"/>
      <c r="I36" s="1"/>
      <c r="J36" s="1"/>
      <c r="K36" s="1"/>
      <c r="L36" s="15" t="s">
        <v>50</v>
      </c>
      <c r="M36" s="12">
        <v>372.0</v>
      </c>
      <c r="N36" s="1"/>
      <c r="O36" s="15" t="s">
        <v>49</v>
      </c>
      <c r="P36" s="12">
        <v>557.0</v>
      </c>
      <c r="Q36" s="1"/>
      <c r="R36" s="1"/>
      <c r="S36" s="1"/>
      <c r="T36" s="1"/>
      <c r="U36" s="1"/>
      <c r="V36" s="15" t="s">
        <v>47</v>
      </c>
      <c r="W36" s="12">
        <v>270.0</v>
      </c>
      <c r="X36" s="1"/>
      <c r="Y36" s="15" t="s">
        <v>47</v>
      </c>
      <c r="Z36" s="12">
        <v>498.0</v>
      </c>
      <c r="AA36" s="1"/>
      <c r="AB36" s="1"/>
      <c r="AC36" s="1"/>
      <c r="AD36" s="1"/>
      <c r="AE36" s="1"/>
      <c r="AF36" s="15" t="s">
        <v>49</v>
      </c>
      <c r="AG36" s="12">
        <v>177.0</v>
      </c>
      <c r="AH36" s="1"/>
      <c r="AI36" s="15" t="s">
        <v>49</v>
      </c>
      <c r="AJ36" s="12">
        <v>421.0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2" t="s">
        <v>49</v>
      </c>
      <c r="C37" s="12">
        <v>187.0</v>
      </c>
      <c r="D37" s="1"/>
      <c r="E37" s="12" t="s">
        <v>48</v>
      </c>
      <c r="F37" s="12">
        <v>306.0</v>
      </c>
      <c r="G37" s="1"/>
      <c r="H37" s="1"/>
      <c r="I37" s="1"/>
      <c r="J37" s="1"/>
      <c r="K37" s="1"/>
      <c r="L37" s="15" t="s">
        <v>47</v>
      </c>
      <c r="M37" s="12">
        <v>356.0</v>
      </c>
      <c r="N37" s="1"/>
      <c r="O37" s="15" t="s">
        <v>48</v>
      </c>
      <c r="P37" s="12">
        <v>502.0</v>
      </c>
      <c r="Q37" s="1"/>
      <c r="R37" s="1"/>
      <c r="S37" s="1"/>
      <c r="T37" s="1"/>
      <c r="U37" s="1"/>
      <c r="V37" s="15" t="s">
        <v>50</v>
      </c>
      <c r="W37" s="12">
        <v>163.0</v>
      </c>
      <c r="X37" s="1"/>
      <c r="Y37" s="15" t="s">
        <v>49</v>
      </c>
      <c r="Z37" s="12">
        <v>429.0</v>
      </c>
      <c r="AA37" s="1"/>
      <c r="AB37" s="1"/>
      <c r="AC37" s="1"/>
      <c r="AD37" s="1"/>
      <c r="AE37" s="1"/>
      <c r="AF37" s="15" t="s">
        <v>48</v>
      </c>
      <c r="AG37" s="12">
        <v>172.0</v>
      </c>
      <c r="AH37" s="1"/>
      <c r="AI37" s="15" t="s">
        <v>47</v>
      </c>
      <c r="AJ37" s="12">
        <v>414.0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2" t="s">
        <v>50</v>
      </c>
      <c r="C38" s="12">
        <v>173.0</v>
      </c>
      <c r="D38" s="1"/>
      <c r="E38" s="12" t="s">
        <v>51</v>
      </c>
      <c r="F38" s="12">
        <v>152.0</v>
      </c>
      <c r="G38" s="1"/>
      <c r="H38" s="1"/>
      <c r="I38" s="1"/>
      <c r="J38" s="1"/>
      <c r="K38" s="1"/>
      <c r="L38" s="15" t="s">
        <v>49</v>
      </c>
      <c r="M38" s="12">
        <v>227.0</v>
      </c>
      <c r="N38" s="1"/>
      <c r="O38" s="15" t="s">
        <v>51</v>
      </c>
      <c r="P38" s="12">
        <v>376.0</v>
      </c>
      <c r="Q38" s="1"/>
      <c r="R38" s="1"/>
      <c r="S38" s="1"/>
      <c r="T38" s="1"/>
      <c r="U38" s="1"/>
      <c r="V38" s="15" t="s">
        <v>49</v>
      </c>
      <c r="W38" s="12">
        <v>162.0</v>
      </c>
      <c r="X38" s="1"/>
      <c r="Y38" s="15" t="s">
        <v>51</v>
      </c>
      <c r="Z38" s="12">
        <v>282.0</v>
      </c>
      <c r="AA38" s="1"/>
      <c r="AB38" s="1"/>
      <c r="AC38" s="1"/>
      <c r="AD38" s="1"/>
      <c r="AE38" s="1"/>
      <c r="AF38" s="15" t="s">
        <v>52</v>
      </c>
      <c r="AG38" s="12">
        <v>121.0</v>
      </c>
      <c r="AH38" s="1"/>
      <c r="AI38" s="15" t="s">
        <v>53</v>
      </c>
      <c r="AJ38" s="12">
        <v>244.0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2" t="s">
        <v>52</v>
      </c>
      <c r="C39" s="12">
        <v>156.0</v>
      </c>
      <c r="D39" s="1"/>
      <c r="E39" s="12" t="s">
        <v>52</v>
      </c>
      <c r="F39" s="12">
        <v>150.0</v>
      </c>
      <c r="G39" s="1"/>
      <c r="H39" s="1"/>
      <c r="I39" s="1"/>
      <c r="J39" s="1"/>
      <c r="K39" s="1"/>
      <c r="L39" s="15" t="s">
        <v>51</v>
      </c>
      <c r="M39" s="12">
        <v>225.0</v>
      </c>
      <c r="N39" s="1"/>
      <c r="O39" s="15" t="s">
        <v>50</v>
      </c>
      <c r="P39" s="12">
        <v>239.0</v>
      </c>
      <c r="Q39" s="1"/>
      <c r="R39" s="1"/>
      <c r="S39" s="1"/>
      <c r="T39" s="1"/>
      <c r="U39" s="1"/>
      <c r="V39" s="15" t="s">
        <v>52</v>
      </c>
      <c r="W39" s="12">
        <v>160.0</v>
      </c>
      <c r="X39" s="1"/>
      <c r="Y39" s="15" t="s">
        <v>52</v>
      </c>
      <c r="Z39" s="12">
        <v>242.0</v>
      </c>
      <c r="AA39" s="1"/>
      <c r="AB39" s="1"/>
      <c r="AC39" s="1"/>
      <c r="AD39" s="1"/>
      <c r="AE39" s="1"/>
      <c r="AF39" s="15" t="s">
        <v>50</v>
      </c>
      <c r="AG39" s="12">
        <v>93.0</v>
      </c>
      <c r="AH39" s="1"/>
      <c r="AI39" s="15" t="s">
        <v>52</v>
      </c>
      <c r="AJ39" s="12">
        <v>186.0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2" t="s">
        <v>54</v>
      </c>
      <c r="C40" s="12">
        <v>138.0</v>
      </c>
      <c r="D40" s="1"/>
      <c r="E40" s="12" t="s">
        <v>55</v>
      </c>
      <c r="F40" s="12">
        <v>109.0</v>
      </c>
      <c r="G40" s="1"/>
      <c r="H40" s="1"/>
      <c r="I40" s="1"/>
      <c r="J40" s="1"/>
      <c r="K40" s="1"/>
      <c r="L40" s="15" t="s">
        <v>54</v>
      </c>
      <c r="M40" s="12">
        <v>214.0</v>
      </c>
      <c r="N40" s="1"/>
      <c r="O40" s="15" t="s">
        <v>52</v>
      </c>
      <c r="P40" s="12">
        <v>222.0</v>
      </c>
      <c r="Q40" s="1"/>
      <c r="R40" s="1"/>
      <c r="S40" s="1"/>
      <c r="T40" s="1"/>
      <c r="U40" s="1"/>
      <c r="V40" s="15" t="s">
        <v>54</v>
      </c>
      <c r="W40" s="12">
        <v>137.0</v>
      </c>
      <c r="X40" s="1"/>
      <c r="Y40" s="15" t="s">
        <v>50</v>
      </c>
      <c r="Z40" s="12">
        <v>174.0</v>
      </c>
      <c r="AA40" s="1"/>
      <c r="AB40" s="1"/>
      <c r="AC40" s="1"/>
      <c r="AD40" s="1"/>
      <c r="AE40" s="1"/>
      <c r="AF40" s="15" t="s">
        <v>54</v>
      </c>
      <c r="AG40" s="12">
        <v>85.0</v>
      </c>
      <c r="AH40" s="1"/>
      <c r="AI40" s="15" t="s">
        <v>56</v>
      </c>
      <c r="AJ40" s="12">
        <v>180.0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2" t="s">
        <v>55</v>
      </c>
      <c r="C41" s="12">
        <v>120.0</v>
      </c>
      <c r="D41" s="1"/>
      <c r="E41" s="12" t="s">
        <v>57</v>
      </c>
      <c r="F41" s="12">
        <v>100.0</v>
      </c>
      <c r="G41" s="1"/>
      <c r="H41" s="1"/>
      <c r="I41" s="1"/>
      <c r="J41" s="1"/>
      <c r="K41" s="1"/>
      <c r="L41" s="15" t="s">
        <v>52</v>
      </c>
      <c r="M41" s="12">
        <v>213.0</v>
      </c>
      <c r="N41" s="1"/>
      <c r="O41" s="15" t="s">
        <v>56</v>
      </c>
      <c r="P41" s="12">
        <v>221.0</v>
      </c>
      <c r="Q41" s="1"/>
      <c r="R41" s="1"/>
      <c r="S41" s="1"/>
      <c r="T41" s="1"/>
      <c r="U41" s="1"/>
      <c r="V41" s="15" t="s">
        <v>51</v>
      </c>
      <c r="W41" s="12">
        <v>120.0</v>
      </c>
      <c r="X41" s="1"/>
      <c r="Y41" s="15" t="s">
        <v>56</v>
      </c>
      <c r="Z41" s="12">
        <v>160.0</v>
      </c>
      <c r="AA41" s="1"/>
      <c r="AB41" s="1"/>
      <c r="AC41" s="1"/>
      <c r="AD41" s="1"/>
      <c r="AE41" s="1"/>
      <c r="AF41" s="1"/>
      <c r="AG41" s="1"/>
      <c r="AH41" s="1"/>
      <c r="AI41" s="15" t="s">
        <v>51</v>
      </c>
      <c r="AJ41" s="12">
        <v>178.0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2" t="s">
        <v>57</v>
      </c>
      <c r="C42" s="12">
        <v>103.0</v>
      </c>
      <c r="D42" s="1"/>
      <c r="E42" s="12" t="s">
        <v>50</v>
      </c>
      <c r="F42" s="12">
        <v>100.0</v>
      </c>
      <c r="G42" s="1"/>
      <c r="H42" s="1"/>
      <c r="I42" s="1"/>
      <c r="J42" s="1"/>
      <c r="K42" s="1"/>
      <c r="L42" s="15" t="s">
        <v>57</v>
      </c>
      <c r="M42" s="12">
        <v>134.0</v>
      </c>
      <c r="N42" s="1"/>
      <c r="O42" s="15" t="s">
        <v>53</v>
      </c>
      <c r="P42" s="12">
        <v>216.0</v>
      </c>
      <c r="Q42" s="1"/>
      <c r="R42" s="1"/>
      <c r="S42" s="1"/>
      <c r="T42" s="1"/>
      <c r="U42" s="1"/>
      <c r="V42" s="15" t="s">
        <v>55</v>
      </c>
      <c r="W42" s="12">
        <v>102.0</v>
      </c>
      <c r="X42" s="1"/>
      <c r="Y42" s="15" t="s">
        <v>53</v>
      </c>
      <c r="Z42" s="12">
        <v>152.0</v>
      </c>
      <c r="AA42" s="1"/>
      <c r="AB42" s="1"/>
      <c r="AC42" s="1"/>
      <c r="AD42" s="1"/>
      <c r="AE42" s="1"/>
      <c r="AF42" s="1"/>
      <c r="AG42" s="1"/>
      <c r="AH42" s="1"/>
      <c r="AI42" s="15" t="s">
        <v>58</v>
      </c>
      <c r="AJ42" s="12">
        <v>162.0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5" t="s">
        <v>56</v>
      </c>
      <c r="C43" s="15">
        <v>37.0</v>
      </c>
      <c r="D43" s="1"/>
      <c r="E43" s="15" t="s">
        <v>56</v>
      </c>
      <c r="F43" s="15">
        <v>91.0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5" t="s">
        <v>50</v>
      </c>
      <c r="AJ43" s="12">
        <v>150.0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5" t="s">
        <v>55</v>
      </c>
      <c r="AJ44" s="12">
        <v>145.0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5" t="s">
        <v>57</v>
      </c>
      <c r="AJ45" s="12">
        <v>134.0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5" t="s">
        <v>54</v>
      </c>
      <c r="AJ46" s="12">
        <v>110.0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</row>
  </sheetData>
  <mergeCells count="17">
    <mergeCell ref="H20:I20"/>
    <mergeCell ref="L20:M20"/>
    <mergeCell ref="O20:P20"/>
    <mergeCell ref="R20:S20"/>
    <mergeCell ref="V20:W20"/>
    <mergeCell ref="Y20:Z20"/>
    <mergeCell ref="AB20:AC20"/>
    <mergeCell ref="AF20:AG20"/>
    <mergeCell ref="AI20:AJ20"/>
    <mergeCell ref="AL20:AM20"/>
    <mergeCell ref="B2:H2"/>
    <mergeCell ref="B19:J19"/>
    <mergeCell ref="L19:T19"/>
    <mergeCell ref="V19:AD19"/>
    <mergeCell ref="AF19:AM19"/>
    <mergeCell ref="B20:C20"/>
    <mergeCell ref="E20:F20"/>
  </mergeCells>
  <drawing r:id="rId1"/>
</worksheet>
</file>