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목표치" sheetId="1" r:id="rId5"/>
    <sheet state="hidden" name="액션 아이템" sheetId="2" r:id="rId6"/>
    <sheet state="hidden" name="반기별" sheetId="3" r:id="rId7"/>
    <sheet state="visible" name="분기별 레버액션" sheetId="4" r:id="rId8"/>
    <sheet state="visible" name="시트7" sheetId="5" r:id="rId9"/>
    <sheet state="visible" name="1분기 액션 detail" sheetId="6" r:id="rId10"/>
    <sheet state="hidden" name="전체 일정" sheetId="7" r:id="rId11"/>
  </sheets>
  <definedNames>
    <definedName hidden="1" localSheetId="1" name="_xlnm._FilterDatabase">'액션 아이템'!$A$1:$AB$978</definedName>
  </definedNames>
  <calcPr/>
</workbook>
</file>

<file path=xl/sharedStrings.xml><?xml version="1.0" encoding="utf-8"?>
<sst xmlns="http://schemas.openxmlformats.org/spreadsheetml/2006/main" count="740" uniqueCount="430">
  <si>
    <t>년월</t>
  </si>
  <si>
    <t>MUV
(자연 성장선1)</t>
  </si>
  <si>
    <t>MUV
(의도적 성장선)
(Capture+Activation)</t>
  </si>
  <si>
    <t>gap</t>
  </si>
  <si>
    <t>예약방문
(자연 성장선1)</t>
  </si>
  <si>
    <t>예약방문
(의도적 성장선)
(플랫폼 효율+Effort)</t>
  </si>
  <si>
    <t>to-do</t>
  </si>
  <si>
    <t>자연 성장선이 달성된다는 전제 하에 gap 을 각 액션 별로 어떻게 달성할 수 있을지</t>
  </si>
  <si>
    <t>액션 별 우선순위 분류 - 월별 배치</t>
  </si>
  <si>
    <t>(중요 월에 조금 더 집중될 수 있도록)</t>
  </si>
  <si>
    <t>서비스</t>
  </si>
  <si>
    <t>분류</t>
  </si>
  <si>
    <t>기여</t>
  </si>
  <si>
    <r>
      <rPr>
        <rFont val="Arial"/>
        <b/>
        <color theme="1"/>
      </rPr>
      <t xml:space="preserve">과제명 </t>
    </r>
    <r>
      <rPr>
        <rFont val="Arial"/>
        <b/>
        <color rgb="FFFF0000"/>
      </rPr>
      <t>(순서 무)</t>
    </r>
  </si>
  <si>
    <t>쿼터</t>
  </si>
  <si>
    <t>상세내용</t>
  </si>
  <si>
    <t>기대효과</t>
  </si>
  <si>
    <t>목표(KPI)</t>
  </si>
  <si>
    <t>광고매출</t>
  </si>
  <si>
    <t>예약방문</t>
  </si>
  <si>
    <t>지도 큐레이션 (HOT)</t>
  </si>
  <si>
    <t>계획 세워서 진행</t>
  </si>
  <si>
    <t>기능개발</t>
  </si>
  <si>
    <t>앱푸시 (단발성)</t>
  </si>
  <si>
    <t>예약 등록/변경/취소 웨이팅 등록/착석알림 등 유저 단발성 이벤트</t>
  </si>
  <si>
    <t>앱푸시 (그룹)</t>
  </si>
  <si>
    <t>마케팅 프로모션용 푸시</t>
  </si>
  <si>
    <t>(백버튼 액션에) 낙수구좌 다른 매장 추천</t>
  </si>
  <si>
    <t>지도 광고 기능 탑재</t>
  </si>
  <si>
    <t>검색 결과 노출 로직 개선 (탐색 빙빙, 광고)</t>
  </si>
  <si>
    <t>내부개선</t>
  </si>
  <si>
    <t>신뢰 강화</t>
  </si>
  <si>
    <t>캐치아카데미 글로벌 교육프로그램 추가 / 국내 b2b마케팅팀 협업 요청 (사장님향 콘텐츠) / 예약보상프로그램 진행</t>
  </si>
  <si>
    <t>예약 매장 확대</t>
  </si>
  <si>
    <t>상시 프로세스 구축, 글로벌 어드민 매장정보 조회기능 개선</t>
  </si>
  <si>
    <t>웨이팅 매장 확대</t>
  </si>
  <si>
    <t>여유 있을 때</t>
  </si>
  <si>
    <t>muv/예약방문</t>
  </si>
  <si>
    <t>원격웨이팅 확대안</t>
  </si>
  <si>
    <t>주차별로 끊기 or 랭킹 노출 기준 변경 (예약 외 저장, pv 등)</t>
  </si>
  <si>
    <t>🔹 과제 우선순위 원칙 3가지</t>
  </si>
  <si>
    <t>마케팅</t>
  </si>
  <si>
    <t>미쉐린 대응</t>
  </si>
  <si>
    <t>* 이번 분기 목표(KPI)에 직접 연결되는가?</t>
  </si>
  <si>
    <t>사용자 음식선호 수집</t>
  </si>
  <si>
    <t>회원가입 시, 29센치 처럼, 저장, 첫예약, 첫웨이팅 등 액션 이후</t>
  </si>
  <si>
    <t>로컬 인기 매장 글로벌 예약 확산</t>
  </si>
  <si>
    <t>랭킹 서비스 고도화 (+ 광고모델)</t>
  </si>
  <si>
    <t>즉시 진행</t>
  </si>
  <si>
    <t>기획전 고도화</t>
  </si>
  <si>
    <t>매장 상세 내 영상, 외부 sns 후기 노출</t>
  </si>
  <si>
    <t>개인화 추천</t>
  </si>
  <si>
    <t>유저향 이벤트</t>
  </si>
  <si>
    <t>muv</t>
  </si>
  <si>
    <t>알리페이 미니프로그램</t>
  </si>
  <si>
    <t>* 지금 안 하면 기회가 사라지는가?</t>
  </si>
  <si>
    <t>초대하기</t>
  </si>
  <si>
    <t>* 이걸 하면 다른 일이 쉬워지는가? (레버리지)</t>
  </si>
  <si>
    <t>제휴처 발굴, 협업</t>
  </si>
  <si>
    <t>ota / 여행 앱 딥링크 제휴 / 에어비앤비 재컨택</t>
  </si>
  <si>
    <t>SEO 극대화</t>
  </si>
  <si>
    <t>키워드 인덱스 페이지 (for SEO) / FAQ (for GEO)</t>
  </si>
  <si>
    <t>퍼포먼스 마케팅</t>
  </si>
  <si>
    <t>인플루언서 마케팅</t>
  </si>
  <si>
    <t>🔹 추천 프레임: Impact × Effort 매트릭스</t>
  </si>
  <si>
    <t>구분</t>
  </si>
  <si>
    <t>의미</t>
  </si>
  <si>
    <t>액션</t>
  </si>
  <si>
    <t>Impact 높고 Effort 낮음</t>
  </si>
  <si>
    <t>최고 효율</t>
  </si>
  <si>
    <t>Impact 높고 Effort 높음</t>
  </si>
  <si>
    <t>핵심 과제</t>
  </si>
  <si>
    <t>Impact 낮고 Effort 낮음</t>
  </si>
  <si>
    <t>있으면 좋은 일</t>
  </si>
  <si>
    <t>Impact 낮고 Effort 높음</t>
  </si>
  <si>
    <t>함정</t>
  </si>
  <si>
    <t>과감히 제거</t>
  </si>
  <si>
    <t>글로벌 KPI</t>
  </si>
  <si>
    <t>Task</t>
  </si>
  <si>
    <t>세부 Task</t>
  </si>
  <si>
    <t>SUB KPI</t>
  </si>
  <si>
    <t>KPI 수치</t>
  </si>
  <si>
    <t>SUB KPI 수치</t>
  </si>
  <si>
    <t>Monthly Plan</t>
  </si>
  <si>
    <t>2월 상반기</t>
  </si>
  <si>
    <t>2월 하반기</t>
  </si>
  <si>
    <t>3월 상반기</t>
  </si>
  <si>
    <t>3월 하반기</t>
  </si>
  <si>
    <t>4월 상반기</t>
  </si>
  <si>
    <t>4월 하반기</t>
  </si>
  <si>
    <t>5월 상반기</t>
  </si>
  <si>
    <t>5월 하반기</t>
  </si>
  <si>
    <t>6월 상반기</t>
  </si>
  <si>
    <t>6월 하반기</t>
  </si>
  <si>
    <t>글로벌 상반기 목표</t>
  </si>
  <si>
    <t>1. MUV MAX 73.8만</t>
  </si>
  <si>
    <t>2. 예약방문 MAX 3.9만</t>
  </si>
  <si>
    <t>검색광고</t>
  </si>
  <si>
    <t>키워드별 CTR</t>
  </si>
  <si>
    <t>- Google</t>
  </si>
  <si>
    <t>국가·언어별 CPA</t>
  </si>
  <si>
    <t>- Yahoo Japan Ads</t>
  </si>
  <si>
    <t>클릭 대비 예약 전환율</t>
  </si>
  <si>
    <t>퍼포먼스 광고</t>
  </si>
  <si>
    <t>노출율</t>
  </si>
  <si>
    <t>- Meta</t>
  </si>
  <si>
    <t>CTR</t>
  </si>
  <si>
    <t>CPI</t>
  </si>
  <si>
    <t>- Tiktok</t>
  </si>
  <si>
    <t>예약 CPA</t>
  </si>
  <si>
    <t>- LINE Ads</t>
  </si>
  <si>
    <t>재방문율</t>
  </si>
  <si>
    <t>인플루언서 콘텐츠 생산</t>
  </si>
  <si>
    <t>인플루언서 콘텐츠 활성화 지수</t>
  </si>
  <si>
    <t>정성적 지표 (콘텐츠 반응)</t>
  </si>
  <si>
    <t>- 콘텐츠 인터랙션 (좋아요, 댓글, 공유, 저장 등) 수</t>
  </si>
  <si>
    <t xml:space="preserve">- 인플루언서 기존 게시글 평균 대비 반응 증감률 </t>
  </si>
  <si>
    <t>정량적 지표 (예약/유입)</t>
  </si>
  <si>
    <t>- 글로벌 앱 내 pv/저장/예약 건수</t>
  </si>
  <si>
    <t xml:space="preserve">- 매장 검색량 </t>
  </si>
  <si>
    <t>매장 체감 지표</t>
  </si>
  <si>
    <t>- 외국인 손님이 늘었다고 느끼는지
비슷한 협업을 다시 해볼 의향이 있는지</t>
  </si>
  <si>
    <t>알리페이 연동</t>
  </si>
  <si>
    <t>배너 노출 및
알리페이 기술 연계</t>
  </si>
  <si>
    <t>알리페이 노출 데이터</t>
  </si>
  <si>
    <t>- 배너 노출량</t>
  </si>
  <si>
    <t>- 배너 클릭량</t>
  </si>
  <si>
    <t>알리페이 인입 데이터</t>
  </si>
  <si>
    <t>- 유입수</t>
  </si>
  <si>
    <t>- 클릭수</t>
  </si>
  <si>
    <t>- 예약수</t>
  </si>
  <si>
    <t>explore 탭 활성화</t>
  </si>
  <si>
    <t>explore 탭 데이터</t>
  </si>
  <si>
    <t>- 페이지 유입수</t>
  </si>
  <si>
    <t>키워드 인덱스 페이지</t>
  </si>
  <si>
    <t>인덱스 페이지 데이터</t>
  </si>
  <si>
    <t>- 페이지 자체 유입수</t>
  </si>
  <si>
    <t>- explore now 클릭수 (매장 상세)</t>
  </si>
  <si>
    <t>FAQ</t>
  </si>
  <si>
    <t>FAQ 페이지 데이터</t>
  </si>
  <si>
    <t>ota / 여행 앱 딥링크 제휴</t>
  </si>
  <si>
    <t>매체 인입 데이터</t>
  </si>
  <si>
    <t>오프라인 매체 (호텔, 인기매장주변 핫스팟, 올리브영 등)</t>
  </si>
  <si>
    <t>원격 웨이팅</t>
  </si>
  <si>
    <t>인기 웨이팅 매장 확대</t>
  </si>
  <si>
    <t>확대 매장 수</t>
  </si>
  <si>
    <t>매장상세페이지 UV</t>
  </si>
  <si>
    <t>신규 회원 가입률</t>
  </si>
  <si>
    <t>매장당 원격 대기수</t>
  </si>
  <si>
    <t>비회원 유저 인입 확대</t>
  </si>
  <si>
    <t>초대장 기능 데이터</t>
  </si>
  <si>
    <t>- 초대장 통한 매장 상세 UV</t>
  </si>
  <si>
    <t>자사 SNS</t>
  </si>
  <si>
    <t>자사 SNS 활성화</t>
  </si>
  <si>
    <t>자사 SNS 데이터</t>
  </si>
  <si>
    <t>- SNS 인터렉션 수</t>
  </si>
  <si>
    <t>- 설문 내 샤오홍슈 응답 수</t>
  </si>
  <si>
    <t xml:space="preserve">2. 예약방문 MAX 3.9만		</t>
  </si>
  <si>
    <t>상시 프로세스 구축</t>
  </si>
  <si>
    <t>추가 매장수</t>
  </si>
  <si>
    <t>매장 별 예약수</t>
  </si>
  <si>
    <t>국내 매장 대비 점유율</t>
  </si>
  <si>
    <t>사장님향 콘텐츠</t>
  </si>
  <si>
    <t>매장 피드백</t>
  </si>
  <si>
    <t>캐치아카데미 글로벌 교육</t>
  </si>
  <si>
    <t>예약금 관련 CS 발생률</t>
  </si>
  <si>
    <t>교육 vs. 비교육 매장 대비 예약 전환율</t>
  </si>
  <si>
    <t>예약보상프로그램</t>
  </si>
  <si>
    <t>보상 정책 노출 vs 미노출 대비 예약 전환율</t>
  </si>
  <si>
    <t>유효 신고 비율</t>
  </si>
  <si>
    <t>예약금 관련 CS 감소율</t>
  </si>
  <si>
    <t>CS 만족도</t>
  </si>
  <si>
    <t>프로모션/기획전</t>
  </si>
  <si>
    <t>기획전 노출 대비 클릭률</t>
  </si>
  <si>
    <t>이벤트 참여율</t>
  </si>
  <si>
    <t>신규 유저 예약 비중</t>
  </si>
  <si>
    <t>외부 sns</t>
  </si>
  <si>
    <t>sns 언급량 / 참여율</t>
  </si>
  <si>
    <t>SNS 기여 예약수</t>
  </si>
  <si>
    <t>매장 추천</t>
  </si>
  <si>
    <t>기획전 고도화
+  로컬 인기 매장 글로벌 예약 확산</t>
  </si>
  <si>
    <t>기획전 페이지 체류 시간</t>
  </si>
  <si>
    <t>기획전 배너 클릭률</t>
  </si>
  <si>
    <t>기획전 내 매장 예약율</t>
  </si>
  <si>
    <t>낙수구좌</t>
  </si>
  <si>
    <t>낙수 추천 클릭률</t>
  </si>
  <si>
    <t>추천 매장 상세 진입률</t>
  </si>
  <si>
    <t>낙수 전환율 (클릭 -&gt; 예약)</t>
  </si>
  <si>
    <t>매장 상세 내 영상 추가</t>
  </si>
  <si>
    <t>영상 노출 대비 예약 전환율</t>
  </si>
  <si>
    <t>외부 sns 후기 노출</t>
  </si>
  <si>
    <t>후기 노출 유저 예약 전환율</t>
  </si>
  <si>
    <t>후기 노출 후 상세 체류 시간</t>
  </si>
  <si>
    <t>추천 클릭률</t>
  </si>
  <si>
    <t>추천 노출 대비 예약 전환율</t>
  </si>
  <si>
    <t>HOT 영역 노출 대비 예약 전환율</t>
  </si>
  <si>
    <t>HOT 클릭률</t>
  </si>
  <si>
    <t>검색 결과 노출 로직 개선</t>
  </si>
  <si>
    <t>검색 결과 상위 N개 내 예약 전환율</t>
  </si>
  <si>
    <t>검색 결과 → 상세 진입률</t>
  </si>
  <si>
    <t>선호 입력 완료율</t>
  </si>
  <si>
    <t>선호 기반 추천 예약 전환율</t>
  </si>
  <si>
    <t>앱푸시</t>
  </si>
  <si>
    <t>단발성 정보 발송</t>
  </si>
  <si>
    <t>수신 성공률 / 오픈율</t>
  </si>
  <si>
    <t>마케팅 그룹 대상</t>
  </si>
  <si>
    <t>상세 진입률</t>
  </si>
  <si>
    <t>세그먼트 별 오픈율 편차</t>
  </si>
  <si>
    <t>예약 전환율</t>
  </si>
  <si>
    <t>📄 2026년 Q1 Growth Lever Strategy Table (Marketing)</t>
  </si>
  <si>
    <t>핵심 KPI</t>
  </si>
  <si>
    <t>상위 레버</t>
  </si>
  <si>
    <t>분기 목표 유형</t>
  </si>
  <si>
    <t>분기 목표 / 기준선</t>
  </si>
  <si>
    <t>담당</t>
  </si>
  <si>
    <t>비고</t>
  </si>
  <si>
    <t>주력</t>
  </si>
  <si>
    <t>신규 MUV</t>
  </si>
  <si>
    <t>유입</t>
  </si>
  <si>
    <t>추세 유지</t>
  </si>
  <si>
    <t>평균 62.3만 유지</t>
  </si>
  <si>
    <t>송연</t>
  </si>
  <si>
    <t>SUB</t>
  </si>
  <si>
    <t>예약방문 수</t>
  </si>
  <si>
    <t>전환</t>
  </si>
  <si>
    <t>하락 방지</t>
  </si>
  <si>
    <t>YoY 10% 이내</t>
  </si>
  <si>
    <t>기간</t>
  </si>
  <si>
    <t>레버</t>
  </si>
  <si>
    <t>세부 레버</t>
  </si>
  <si>
    <t>기여 목표</t>
  </si>
  <si>
    <t>실제 기여</t>
  </si>
  <si>
    <t>결과</t>
  </si>
  <si>
    <t>1열</t>
  </si>
  <si>
    <t>1-1. 인플루언서 SNS 마케팅</t>
  </si>
  <si>
    <t>2-1. 퍼포먼스 마케팅</t>
  </si>
  <si>
    <t>제휴처 - 오프라인 (인기매장 주변 핫스팟)</t>
  </si>
  <si>
    <t>원격 웨이팅 매장 확대</t>
  </si>
  <si>
    <t>SEO - explore 탭 활성화</t>
  </si>
  <si>
    <t>2~3개월 이후 기여발생 유력</t>
  </si>
  <si>
    <t>예약 방문 수</t>
  </si>
  <si>
    <t>사장님향 콘텐츠 개발 (w. 사장님그로스)</t>
  </si>
  <si>
    <t>매장 추천 - 기획전 고도화</t>
  </si>
  <si>
    <t>매장 확대</t>
  </si>
  <si>
    <t>1-2. 인플루언서 SNS 마케팅 플로우</t>
  </si>
  <si>
    <t>SEO - FAQ</t>
  </si>
  <si>
    <t>2-1. 퍼포먼스 마케팅 디벨롭</t>
  </si>
  <si>
    <t>알리페이 - 유입 대상 이벤트</t>
  </si>
  <si>
    <t>제휴처 - 오프라인 (호텔)</t>
  </si>
  <si>
    <t>웨이팅 매장 확대 플로우 구축</t>
  </si>
  <si>
    <t>매장 추천 - 낙수구좌</t>
  </si>
  <si>
    <t>외부 sns 유저향 이벤트</t>
  </si>
  <si>
    <t>할인매장 노출 프로모션</t>
  </si>
  <si>
    <t>사장님향 콘텐츠 활성화 (w. 사장님그로스)</t>
  </si>
  <si>
    <t>제휴처 - 오프라인 매체 (올리브영)</t>
  </si>
  <si>
    <t>제휴처 - 해외 여행사</t>
  </si>
  <si>
    <t>month</t>
  </si>
  <si>
    <t>예약</t>
  </si>
  <si>
    <t>월 | 분기 | 핵심 KPI | 레버 | 목표 | 실제 | 코멘트</t>
  </si>
  <si>
    <t>월요약 (스토리용, 판단 근거용, 위 시트에서 끌어올린 결과만 정리)</t>
  </si>
  <si>
    <t>2026.01 | 유입 집중 | 성과 △ | 전환 문제 발견</t>
  </si>
  <si>
    <t>2026.02 | 유입 집중 | 성과 △ | 전환 문제 발견</t>
  </si>
  <si>
    <t>2026.03 | 유입 집중 | 성과 △ | 전환 문제 발견</t>
  </si>
  <si>
    <t>2026.04 | 유입 총력 | 성과 ○ | 재방문 안정</t>
  </si>
  <si>
    <t>2026.05 | 전환 개입 | 진행 중</t>
  </si>
  <si>
    <t>2026.06 | 전환 개입 | 진행 중</t>
  </si>
  <si>
    <t>KPI</t>
  </si>
  <si>
    <t>목적</t>
  </si>
  <si>
    <t>세부 액션</t>
  </si>
  <si>
    <t>목표</t>
  </si>
  <si>
    <t>Weekly Plan</t>
  </si>
  <si>
    <t>2월 1주차</t>
  </si>
  <si>
    <t>2월 2주차</t>
  </si>
  <si>
    <t>2월 3주차</t>
  </si>
  <si>
    <t>2월 4주차</t>
  </si>
  <si>
    <t>3월 1주차</t>
  </si>
  <si>
    <t>3월 2주차</t>
  </si>
  <si>
    <t>3월 3주차</t>
  </si>
  <si>
    <t>3월 4주차</t>
  </si>
  <si>
    <t>액션 별 KPI</t>
  </si>
  <si>
    <t>공통 KPI
(의도적 성장선 GAP 기준)</t>
  </si>
  <si>
    <t>달성시점</t>
  </si>
  <si>
    <t>인플루언서 SNS 마케팅</t>
  </si>
  <si>
    <t>콘텐츠 소비 단계에서 예약 인지와 사용 맥락을 동시에 형성</t>
  </si>
  <si>
    <r>
      <rPr>
        <rFont val="Arial"/>
        <b/>
        <color theme="1"/>
      </rPr>
      <t>인플루언서 및 매장 섭외 (캐테 비용 지원)</t>
    </r>
    <r>
      <rPr>
        <rFont val="Arial"/>
        <color theme="1"/>
      </rPr>
      <t xml:space="preserve">
: 1차 테스트를 통한
콘텐츠 반응 및 매장 니즈를 검증</t>
    </r>
  </si>
  <si>
    <r>
      <rPr>
        <rFont val="Arial"/>
        <b/>
        <color theme="1"/>
      </rPr>
      <t>정성적 지표 (콘텐츠 반응)</t>
    </r>
    <r>
      <rPr>
        <rFont val="Arial"/>
        <color theme="1"/>
      </rPr>
      <t xml:space="preserve">
- 콘텐츠 인터랙션 (좋아요, 댓글, 공유, 저장 등) 수
- 인플루언서 기존 게시글 평균 대비 반응 증감률 
</t>
    </r>
    <r>
      <rPr>
        <rFont val="Arial"/>
        <b/>
        <color theme="1"/>
      </rPr>
      <t>정량적 지표 (예약/유입)</t>
    </r>
    <r>
      <rPr>
        <rFont val="Arial"/>
        <color theme="1"/>
      </rPr>
      <t xml:space="preserve">
- 글로벌 앱 내 pv/저장/예약 건수
- 매장 검색량 </t>
    </r>
  </si>
  <si>
    <t>2월</t>
  </si>
  <si>
    <r>
      <rPr>
        <rFont val="Arial"/>
        <b/>
        <color theme="1"/>
      </rPr>
      <t>인플루언서 - 매장 연결 플로우 구축 (매장 비용 부담)</t>
    </r>
    <r>
      <rPr>
        <rFont val="Arial"/>
        <color theme="1"/>
      </rPr>
      <t xml:space="preserve">
:  성과 확인 후 고도화 단계로,
지속적으로 콘텐츠가 생성되는 플로우 구축</t>
    </r>
  </si>
  <si>
    <t>3월</t>
  </si>
  <si>
    <t>탐색 의도 보유 유저 대상
브랜드 최초 노출 확보</t>
  </si>
  <si>
    <r>
      <rPr>
        <rFont val="Arial"/>
        <b/>
        <color rgb="FF000000"/>
      </rPr>
      <t xml:space="preserve">검색 광고
</t>
    </r>
    <r>
      <rPr>
        <rFont val="Arial"/>
        <color rgb="FF000000"/>
      </rPr>
      <t>: 명확한 탐색 유저를 타깃으로 한 직접 유입 확보
    지역/식당명 키워드 기반 유입 → 고관여 리드 유저 확보</t>
    </r>
  </si>
  <si>
    <t>키워드별 CTR
국가·언어별 CPA
클릭 대비 예약 전환율</t>
  </si>
  <si>
    <t>주요 유입 매체 내 광고 집행을 통해 타겟 유저 인입을 유도</t>
  </si>
  <si>
    <r>
      <rPr>
        <rFont val="Arial"/>
        <b/>
        <color rgb="FF000000"/>
      </rPr>
      <t xml:space="preserve">DA 광고
</t>
    </r>
    <r>
      <rPr>
        <rFont val="Arial"/>
        <color rgb="FF000000"/>
      </rPr>
      <t>: 인플루언서 영상을 활용한 시각적 콘텐츠 기반으로
브랜드 초기 노출 확대</t>
    </r>
  </si>
  <si>
    <t>CTR
CPI
예약 CPA</t>
  </si>
  <si>
    <t>제휴처
추가 서칭</t>
  </si>
  <si>
    <t>여행·라이프스타일 관련 제휴처를 중심으로
신규 유입 접점 확장</t>
  </si>
  <si>
    <r>
      <rPr>
        <rFont val="Arial"/>
        <b/>
        <color theme="1"/>
      </rPr>
      <t>오프라인 (매장 주변 핫스팟)</t>
    </r>
    <r>
      <rPr>
        <rFont val="Arial"/>
        <color theme="1"/>
      </rPr>
      <t xml:space="preserve">
: 핫스팟 방문 전·후 동선에 맞춘 매장 혜택 제공을 통해
현장 유저 접점 확대 및 즉시 예약 전환 유도</t>
    </r>
  </si>
  <si>
    <r>
      <rPr>
        <rFont val="Arial"/>
        <b/>
        <color theme="1"/>
      </rPr>
      <t>매체 인입 데이터</t>
    </r>
    <r>
      <rPr>
        <rFont val="Arial"/>
        <color theme="1"/>
      </rPr>
      <t xml:space="preserve">
- 유입 / 클릭 / 예약
</t>
    </r>
    <r>
      <rPr>
        <rFont val="Arial"/>
        <b/>
        <color theme="1"/>
      </rPr>
      <t>유저 설문 내 응답률</t>
    </r>
  </si>
  <si>
    <r>
      <rPr>
        <rFont val="Arial"/>
        <b/>
        <color theme="1"/>
      </rPr>
      <t>오프라인 (호텔)</t>
    </r>
    <r>
      <rPr>
        <rFont val="Arial"/>
        <color theme="1"/>
      </rPr>
      <t xml:space="preserve">
: 호텔 투숙객 대상 맛집 탐색 니즈를 확보하여
체류 중 고관여 글로벌 유저의 탐색 극대화</t>
    </r>
  </si>
  <si>
    <t>알리페이</t>
  </si>
  <si>
    <t>알리페이 연동을 통한 중화권 유저 유입 확대</t>
  </si>
  <si>
    <r>
      <rPr>
        <rFont val="Arial"/>
        <b/>
        <color theme="1"/>
      </rPr>
      <t>알리페이 연동 초기 부스트업</t>
    </r>
    <r>
      <rPr>
        <rFont val="Arial"/>
        <color theme="1"/>
      </rPr>
      <t xml:space="preserve">
: : 알리페이 연동 오픈 초기 집중 노출을 통해
중화권 유저 대상 서비스 유입을 단기간 확대</t>
    </r>
  </si>
  <si>
    <r>
      <rPr>
        <rFont val="Arial"/>
        <b/>
        <color theme="1"/>
      </rPr>
      <t>알리페이 노출 데이터</t>
    </r>
    <r>
      <rPr>
        <rFont val="Arial"/>
        <color theme="1"/>
      </rPr>
      <t xml:space="preserve">
- 배너 노출 / 클릭
</t>
    </r>
    <r>
      <rPr>
        <rFont val="Arial"/>
        <b/>
        <color theme="1"/>
      </rPr>
      <t>알리페이 인입 데이터</t>
    </r>
    <r>
      <rPr>
        <rFont val="Arial"/>
        <color theme="1"/>
      </rPr>
      <t xml:space="preserve">
- 유입 / 클릭 / 예약수</t>
    </r>
  </si>
  <si>
    <r>
      <rPr>
        <rFont val="Arial"/>
        <b/>
        <color theme="1"/>
      </rPr>
      <t>유입 대상 이벤트</t>
    </r>
    <r>
      <rPr>
        <rFont val="Arial"/>
        <color theme="1"/>
      </rPr>
      <t xml:space="preserve">
: 알리페이 유입 유저 전용 혜택 제공을 통해
첫 방문 허들을 낮춤 + 예약 전환을 유도</t>
    </r>
  </si>
  <si>
    <t>SEO</t>
  </si>
  <si>
    <t>지역+음식명, 매장명 등 이미 ‘찾고 있는’ 검색 수요를 선점,
노출량 상승으로 트래픽 확대</t>
  </si>
  <si>
    <r>
      <rPr>
        <rFont val="Arial"/>
        <b/>
        <color theme="1"/>
      </rPr>
      <t>explore 탭 활성화</t>
    </r>
    <r>
      <rPr>
        <rFont val="Arial"/>
        <color theme="1"/>
      </rPr>
      <t xml:space="preserve">
: 지역명과 음식명을 결합한 검색 수요로
SEO 탐색 유저의 자연 유입을 확대</t>
    </r>
  </si>
  <si>
    <t>페이지 유입수
매장 상세 클릭 수</t>
  </si>
  <si>
    <r>
      <rPr>
        <rFont val="Arial"/>
        <b/>
        <color theme="1"/>
      </rPr>
      <t>FAQ (html 파일)</t>
    </r>
    <r>
      <rPr>
        <rFont val="Arial"/>
        <color theme="1"/>
      </rPr>
      <t xml:space="preserve">
: 개별 매장 서치 유저 대상 검색엔진 노출 강화</t>
    </r>
  </si>
  <si>
    <t>페이지 자체 유입수
explore now 클릭수 (매장 상세)</t>
  </si>
  <si>
    <t>웨이팅 매장 확대로 오프라인 웨이팅 유저 유입을 확대</t>
  </si>
  <si>
    <r>
      <rPr>
        <rFont val="Arial"/>
        <b/>
        <color theme="1"/>
      </rPr>
      <t>웨이팅 매장 일시 확대</t>
    </r>
    <r>
      <rPr>
        <rFont val="Arial"/>
        <color theme="1"/>
      </rPr>
      <t xml:space="preserve">
: 글로벌 웨이팅 OFF 매장 추가 확대</t>
    </r>
  </si>
  <si>
    <t>확대 매장 수
매장상세페이지 UV
신규 회원 가입률
매장당 원격 대기수</t>
  </si>
  <si>
    <r>
      <rPr>
        <rFont val="Arial"/>
        <b/>
        <color theme="1"/>
      </rPr>
      <t>웨이팅 매장 확대 플로우 구축</t>
    </r>
    <r>
      <rPr>
        <rFont val="Arial"/>
        <color theme="1"/>
      </rPr>
      <t xml:space="preserve">
: 글로벌 자동 ON 프로세스 요청</t>
    </r>
  </si>
  <si>
    <t>탐색 유저 대상 반복 노출을 통해
브랜드/식당에 대한 자연스러운 예약 관심 유도</t>
  </si>
  <si>
    <r>
      <rPr>
        <rFont val="Arial"/>
        <b/>
        <color theme="1"/>
      </rPr>
      <t>샤오홍슈</t>
    </r>
    <r>
      <rPr>
        <rFont val="Arial"/>
        <color theme="1"/>
      </rPr>
      <t xml:space="preserve">
: 중화권 타깃 확대를 위한 핵심 채널</t>
    </r>
  </si>
  <si>
    <t>자사 SNS 데이터
- SNS 인터렉션 수
- 설문 내 샤오홍슈 / 인스타그램 응답 수</t>
  </si>
  <si>
    <r>
      <rPr>
        <rFont val="Arial"/>
        <b/>
        <color theme="1"/>
      </rPr>
      <t>인스타그램</t>
    </r>
    <r>
      <rPr>
        <rFont val="Arial"/>
        <color theme="1"/>
      </rPr>
      <t xml:space="preserve">
: 전 어권에서 가장 강력한 탐색/검색 유입 채널</t>
    </r>
  </si>
  <si>
    <t>유저의 취향과 탐색 맥락에 맞는 매장 제안
-&gt; 탐색 시간을 단축하고 예약 유도</t>
  </si>
  <si>
    <r>
      <rPr>
        <rFont val="Arial"/>
        <b/>
        <color theme="1"/>
      </rPr>
      <t xml:space="preserve">기획전 고도화
</t>
    </r>
    <r>
      <rPr>
        <rFont val="Arial"/>
        <color theme="1"/>
      </rPr>
      <t>:테마·상황별 기획전을 정교화하여
유저의 탐색 맥락에 맞는 매장을 빠르게 제안</t>
    </r>
  </si>
  <si>
    <t>기획전 페이지 체류 시간
기획전 배너 클릭률
기획전 내 매장 예약율</t>
  </si>
  <si>
    <r>
      <rPr>
        <rFont val="Arial"/>
        <b/>
        <color theme="1"/>
      </rPr>
      <t xml:space="preserve">낙수구좌
</t>
    </r>
    <r>
      <rPr>
        <rFont val="Arial"/>
        <color theme="1"/>
      </rPr>
      <t>: 인기 매장 예약 불가 시 유사한 매장을 즉시 제안하여,
이탈 직전 유저를 다시 탐색·예약 흐름으로 회수</t>
    </r>
  </si>
  <si>
    <t>낙수 추천 클릭률
추천 매장 상세 진입률
낙수 전환율 (클릭 -&gt; 예약)</t>
  </si>
  <si>
    <t>예약 불가로 인한 이탈을 줄여 전체 유입과 전환 기회를 확대</t>
  </si>
  <si>
    <r>
      <rPr>
        <rFont val="Arial"/>
        <b/>
        <color theme="1"/>
      </rPr>
      <t>예약 매장 1차 확대</t>
    </r>
    <r>
      <rPr>
        <rFont val="Arial"/>
        <color theme="1"/>
      </rPr>
      <t xml:space="preserve">
: 예약금이 없는 / 국내 인기 매장 우선 확보로
단기간 내 예약 가능 매장 확보, 즉시 전환</t>
    </r>
  </si>
  <si>
    <t>추가 매장수
매장 별 예약수
국내 매장 대비 점유율</t>
  </si>
  <si>
    <r>
      <rPr>
        <rFont val="Arial"/>
        <b/>
        <color theme="1"/>
      </rPr>
      <t xml:space="preserve">예약 매장 2차 확대
</t>
    </r>
    <r>
      <rPr>
        <rFont val="Arial"/>
        <color theme="1"/>
      </rPr>
      <t>: 잠재 수요 매장까지 확장,
장기적인 예약 볼륨 성장 목표</t>
    </r>
  </si>
  <si>
    <t>프로모션</t>
  </si>
  <si>
    <t>가격 및 혜택 요소를 중심으로 예약 동기를 강화하여
브랜드 인지 후 예약을 위한 실질적 행동 유도</t>
  </si>
  <si>
    <r>
      <rPr>
        <rFont val="Arial"/>
        <b/>
        <color theme="1"/>
      </rPr>
      <t>할인매장 노출 프로모션</t>
    </r>
    <r>
      <rPr>
        <rFont val="Arial"/>
        <color theme="1"/>
      </rPr>
      <t xml:space="preserve">
: 혜택 제공 매장 기획전 노출로 예약 전환율 단기 확대</t>
    </r>
  </si>
  <si>
    <t>기획전 노출 대비 클릭률
이벤트 참여율</t>
  </si>
  <si>
    <r>
      <rPr>
        <rFont val="Arial"/>
        <b/>
        <color theme="1"/>
      </rPr>
      <t>외부 sns 유저향 이벤트</t>
    </r>
    <r>
      <rPr>
        <rFont val="Arial"/>
        <color theme="1"/>
      </rPr>
      <t xml:space="preserve">
:유저 생성 콘텐츠를 통한 캐테/식당 자연 노출 확대
후기 콘텐츠 기반 탐색 유저 유입 트리거 확보</t>
    </r>
  </si>
  <si>
    <t>SNS 언급량 / 참여율
SNS 기여 예약수
신규 유저 예약 비중</t>
  </si>
  <si>
    <t>예약금, 이용 조건, 보상 정책 등 불안 요소를 사전에 해소하여,
유저가 안심하고 예약을 완료할 수 있는 환경을 구축</t>
  </si>
  <si>
    <r>
      <rPr>
        <rFont val="Arial"/>
        <b/>
        <color theme="1"/>
      </rPr>
      <t>사장님향 콘텐츠 개발 (w. 사장님그로스)</t>
    </r>
    <r>
      <rPr>
        <rFont val="Arial"/>
        <color theme="1"/>
      </rPr>
      <t xml:space="preserve">
: 글로벌 예약 오픈 및 예약금 정책 교육 내용 추가</t>
    </r>
  </si>
  <si>
    <t>예약금 미수 발생률
글로벌 예약 CS 감소율
매장 피드백</t>
  </si>
  <si>
    <r>
      <rPr>
        <rFont val="Arial"/>
        <b/>
        <color theme="1"/>
      </rPr>
      <t>사장님향 콘텐츠 활성화 (w. 사장님그로스)</t>
    </r>
    <r>
      <rPr>
        <rFont val="Arial"/>
        <color theme="1"/>
      </rPr>
      <t xml:space="preserve">
: 사장님향 교육 활성화, 글로벌앱 인지도 확대 및 전반 신뢰 강화</t>
    </r>
  </si>
  <si>
    <t>고관여 리드 확보용 미디어믹스 (1개월 기준)</t>
  </si>
  <si>
    <t>예산 비중</t>
  </si>
  <si>
    <t>예산</t>
  </si>
  <si>
    <t>인플루언서</t>
  </si>
  <si>
    <t>인플루언서 섭외 (영상 2차 활용 가능)</t>
  </si>
  <si>
    <t>paid ad.</t>
  </si>
  <si>
    <t>cpc</t>
  </si>
  <si>
    <t>ctr</t>
  </si>
  <si>
    <t>검색 광고</t>
  </si>
  <si>
    <t>1개월 테스트 집행</t>
  </si>
  <si>
    <t>퍼포먼스 광고 (meta / google)</t>
  </si>
  <si>
    <t>이벤트</t>
  </si>
  <si>
    <t>고객향 이벤트 (추가 확인 필요)</t>
  </si>
  <si>
    <t>캐치테이블 예약 인증 + 방문 완료자 대상</t>
  </si>
  <si>
    <t>합계</t>
  </si>
  <si>
    <t>타겟 퍼널 / 액션</t>
  </si>
  <si>
    <t>필수 실행 Task</t>
  </si>
  <si>
    <t>①</t>
  </si>
  <si>
    <t>* 검색 엔진을 통한 식당 상세 탐색 / 캐치테이블 인지 전후</t>
  </si>
  <si>
    <t>Task 통한 기대효과</t>
  </si>
  <si>
    <t>공통 KPI</t>
  </si>
  <si>
    <t>SEO 활성화</t>
  </si>
  <si>
    <t>검색엔진 내 캐치테이블 개별 식당 검색 시 
노출량 상승으로 트래픽 확대</t>
  </si>
  <si>
    <r>
      <rPr>
        <rFont val="Arial"/>
        <b/>
        <color theme="1"/>
      </rPr>
      <t xml:space="preserve">큐레이션 / FAQ 구조 변경
</t>
    </r>
    <r>
      <rPr>
        <rFont val="Arial"/>
        <b val="0"/>
        <color theme="1"/>
      </rPr>
      <t>: SEO/GEO 모두에서 크롤링 최적화를 위한
SSR 구조 개선</t>
    </r>
  </si>
  <si>
    <t>SEO 내 콘텐츠 노출 우선순위 향상
기존 콘텐츠보다 높은 GEO 인용 가능성 확보</t>
  </si>
  <si>
    <t>SEO 유입 키워드 수/노출량 5% 증가
GEO 내 콘텐츠 인용률 40%대 상승</t>
  </si>
  <si>
    <t>12월 중순 ~ 1월
검색어 노출량
10% 증가</t>
  </si>
  <si>
    <t>1월 중</t>
  </si>
  <si>
    <r>
      <rPr>
        <rFont val="Arial"/>
        <b/>
        <color theme="1"/>
      </rPr>
      <t xml:space="preserve">자사 페이지 콘텐츠 활성화
: </t>
    </r>
    <r>
      <rPr>
        <rFont val="Arial"/>
        <b val="0"/>
        <color theme="1"/>
      </rPr>
      <t>지도 / 기획전 등 자사 웹페이지 콘텐츠 강화</t>
    </r>
  </si>
  <si>
    <t>앱 내 페이지의 SEO 노출량 확대</t>
  </si>
  <si>
    <t>콘텐츠 페이지 유입 트래픽 5% 증가</t>
  </si>
  <si>
    <t>상시</t>
  </si>
  <si>
    <t>+흑백요리사 바이럴</t>
  </si>
  <si>
    <t>흑백요리사 활용 마케팅</t>
  </si>
  <si>
    <t>흑백요리사 이슈를 활용한
비성수기 글로벌앱 부스팅</t>
  </si>
  <si>
    <r>
      <rPr>
        <rFont val="Arial"/>
        <b/>
        <color rgb="FFFF6861"/>
      </rPr>
      <t xml:space="preserve">국내 콘텐츠 워싱
</t>
    </r>
    <r>
      <rPr>
        <rFont val="Arial"/>
        <b val="0"/>
        <color rgb="FF000000"/>
      </rPr>
      <t>: 기존 승인된 국내 콘텐츠의 빠른 업로드로 트렌드 대응
(흑/백수저 매장 소개, 트렌드 리포트 등)</t>
    </r>
  </si>
  <si>
    <t>트렌드 타이밍에 맞춘 콘텐츠 반영</t>
  </si>
  <si>
    <t>콘텐츠 노출 수 1만
SNS 별 팔로워 1천</t>
  </si>
  <si>
    <t xml:space="preserve">12월 중순 ~ 1월
MAU 콘솔기준 
65만
</t>
  </si>
  <si>
    <t>1월 중순</t>
  </si>
  <si>
    <r>
      <rPr>
        <rFont val="Arial"/>
        <b/>
        <color rgb="FFFF6861"/>
      </rPr>
      <t xml:space="preserve">글로벌 타겟팅 콘텐츠 제작
</t>
    </r>
    <r>
      <rPr>
        <rFont val="Arial"/>
        <b val="0"/>
        <color rgb="FF000000"/>
      </rPr>
      <t>: 글로벌 유저의 관심사(셀럽, 타 프로그램 등)와 결합한
신규 콘텐츠 발행</t>
    </r>
  </si>
  <si>
    <t>해외 유저의 유입 트리거 확보</t>
  </si>
  <si>
    <r>
      <rPr>
        <rFont val="Arial"/>
        <b/>
        <color rgb="FFFDBC49"/>
      </rPr>
      <t xml:space="preserve">흑백요리사 자체 바이럴 유도
</t>
    </r>
    <r>
      <rPr>
        <rFont val="Arial"/>
        <b val="0"/>
        <color rgb="FF000000"/>
      </rPr>
      <t>: 한국 트렌드를 다루는 해외 인플루언서들에게
흑백요리사 소개 +캐테 기획전 콘텐츠 리소스 제공</t>
    </r>
  </si>
  <si>
    <t>한국 미식 트렌드에 대한 흥미 유도
인플루언서 콘텐츠로 캐테/식당 노출 확산</t>
  </si>
  <si>
    <t>인플루언서 콘텐츠
언급/평균 인터랙션 (TBU)</t>
  </si>
  <si>
    <r>
      <rPr>
        <rFont val="Arial"/>
        <b/>
        <color rgb="FFFDBC49"/>
      </rPr>
      <t xml:space="preserve">바이럴 댓글, 게시글 작업
</t>
    </r>
    <r>
      <rPr>
        <rFont val="Arial"/>
        <b val="0"/>
        <color rgb="FF000000"/>
      </rPr>
      <t>: 틱톡, 인스타그램, 샤오홍슈 등 주요 해외 SNS에서 
흑백요리사 언급 게시물 내 
'예약은 캐치테이블에서' 코멘트 삽입</t>
    </r>
  </si>
  <si>
    <t>유저 생성 콘텐츠 기반 자연스러운 브랜드 노출
탐색형 유저 대상 직접 전환 유도</t>
  </si>
  <si>
    <t>댓글 인터랙션 수 (TBU)</t>
  </si>
  <si>
    <r>
      <rPr>
        <rFont val="Arial"/>
        <b/>
        <color rgb="FFFDBC49"/>
      </rPr>
      <t xml:space="preserve">회차별 이슈 매장, 셰프 소개 큐레이션
</t>
    </r>
    <r>
      <rPr>
        <rFont val="Arial"/>
        <b val="0"/>
        <color rgb="FF000000"/>
      </rPr>
      <t>: 방영 회차에 맞춘 트렌드 연동형 큐레이션 콘텐츠 발행</t>
    </r>
  </si>
  <si>
    <t>실시간 이슈 대응으로 SEO 검색 및 노출 기회 확대
회차별 예약 트렌드와 연결되는 검색/예약 흐름 유도</t>
  </si>
  <si>
    <t>셰프/매장 예약 증가율
콘텐츠 기반 유입 대비 전환율 (TBU)</t>
  </si>
  <si>
    <t>②</t>
  </si>
  <si>
    <t>* SNS / AI 등을 통한 식당 탐색 (캐테 인지 이전)</t>
  </si>
  <si>
    <r>
      <rPr>
        <rFont val="Arial"/>
        <b/>
        <color theme="1"/>
      </rPr>
      <t xml:space="preserve">인스타그램
</t>
    </r>
    <r>
      <rPr>
        <rFont val="Arial"/>
        <b val="0"/>
        <color theme="1"/>
      </rPr>
      <t>: 전 어권에서 가장 강력한 탐색/검색 유입 채널</t>
    </r>
  </si>
  <si>
    <t>전 어권 공통의 주요 탐색/검색 유입 채널 확보</t>
  </si>
  <si>
    <t>TBU</t>
  </si>
  <si>
    <r>
      <rPr>
        <rFont val="Arial"/>
        <b/>
        <color theme="1"/>
      </rPr>
      <t xml:space="preserve">샤오홍슈
: </t>
    </r>
    <r>
      <rPr>
        <rFont val="Arial"/>
        <b val="0"/>
        <color theme="1"/>
      </rPr>
      <t>중화권 타깃 확대를 위한 핵심 채널</t>
    </r>
  </si>
  <si>
    <t>중화권 유저 인입 강화</t>
  </si>
  <si>
    <t>1만 인터랙션</t>
  </si>
  <si>
    <t>SNS 내 캐치테이블 / 입점 식당/ 관련 이슈 바이럴</t>
  </si>
  <si>
    <t>입점 식당 및 브랜드 인지 확대의 초기 진입점 확보
미식/여행 트렌드 연관 키워드 기반 유입 확대</t>
  </si>
  <si>
    <r>
      <rPr>
        <rFont val="Arial"/>
        <b/>
        <color theme="1"/>
      </rPr>
      <t xml:space="preserve">인기 유입 채널/키워드 파악
</t>
    </r>
    <r>
      <rPr>
        <rFont val="Arial"/>
        <b val="0"/>
        <color theme="1"/>
      </rPr>
      <t>: 설문을 통해 파악한 트렌드 키워드를 반영한 콘텐츠 / 앱 업데이트
(인기 키워드 기반 콘텐츠 / 메타 태그 / 앱 내 배너 등)</t>
    </r>
  </si>
  <si>
    <t>트렌드 키워드 반영을 통한 SEO 노출량 확대</t>
  </si>
  <si>
    <t>-</t>
  </si>
  <si>
    <r>
      <rPr>
        <rFont val="Arial"/>
        <b/>
        <color theme="1"/>
      </rPr>
      <t xml:space="preserve">새벽네시 틱톡커 제휴 &gt; 추후 매장-인플루언서 연결 테스트
: </t>
    </r>
    <r>
      <rPr>
        <rFont val="Arial"/>
        <b val="0"/>
        <color theme="1"/>
      </rPr>
      <t>틱톡커 콘텐츠 발행 제휴</t>
    </r>
  </si>
  <si>
    <t>틱톡 내 바이럴 콘텐츠 임팩트 테스트
콘텐츠를 통한 입점 식당/셰프 주목도 상승 및 저장 유도</t>
  </si>
  <si>
    <t>12~1월</t>
  </si>
  <si>
    <t>추가 실행 Task: 예산 집행 및 개발 리소스 투입을 통한 유입/예약 확대</t>
  </si>
  <si>
    <t>③</t>
  </si>
  <si>
    <t>* 캐치테이블 예약 유도</t>
  </si>
  <si>
    <t>회원가입, 저장, 예약 등 주요 액션 유도 이벤트</t>
  </si>
  <si>
    <t>브랜드 인지 후 예약을 위한 실질적 행동 유도</t>
  </si>
  <si>
    <t>글로벌 쿠폰 / 래플 기능 활성화</t>
  </si>
  <si>
    <t>전환율 상승 및 브랜드 주목도 향상
sns 바이럴 소구점 확보</t>
  </si>
  <si>
    <t>저장 수 20% 증가
예약 수 10% 증가</t>
  </si>
  <si>
    <t>sns 후기 공유 이벤트</t>
  </si>
  <si>
    <t>유저 생성 콘텐츠를 통한 캐테/식당 자연 노출 확대
후기 콘텐츠 기반 탐색 유저 유입 트리거 확보</t>
  </si>
  <si>
    <t>지인 추천 이벤트</t>
  </si>
  <si>
    <t>유입당 비용 절감
신뢰 기반 유입 경로 확보</t>
  </si>
  <si>
    <t>④</t>
  </si>
  <si>
    <t>메타 광고 집행</t>
  </si>
  <si>
    <t>메타 광고</t>
  </si>
  <si>
    <t>탐색 유저에게 콘텐츠 노출로 저장·클릭 유도
        저비용으로 빠른 A/B 테스트 및 지역별 반응 확인 가능</t>
  </si>
  <si>
    <t>주요 매체 내 바이럴 예산 집행</t>
  </si>
  <si>
    <t>유료 콘텐츠 확산을 통한 신규 유저 접점 확대</t>
  </si>
  <si>
    <t>인플루언서 유료 콘텐츠 집행</t>
  </si>
  <si>
    <t>SNS에서의 브랜드 키워드 언급 증가 및 탐색 유도</t>
  </si>
  <si>
    <t>구글 광고 집행</t>
  </si>
  <si>
    <t>명확한 탐색 유저를 타깃으로 한 직접 유입 확보
    지역/식당명 키워드 기반 유입 → 고관여 리드 유저 확보</t>
  </si>
  <si>
    <t>DA 광고</t>
  </si>
  <si>
    <t>시각적 콘텐츠 기반으로 브랜드 초기 노출 확대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</si>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</sst>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 m"/>
    <numFmt numFmtId="165" formatCode="yyyy. mm"/>
    <numFmt numFmtId="166" formatCode="yyyy&quot;. &quot;mm"/>
    <numFmt numFmtId="167" formatCode="0.0%"/>
    <numFmt numFmtId="168" formatCode="#,##0,,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/>
    <font>
      <b/>
      <color rgb="FFFFFFFF"/>
      <name val="Arial"/>
    </font>
    <font>
      <b/>
      <color theme="1"/>
      <name val="Roboto"/>
    </font>
    <font>
      <color rgb="FF434343"/>
      <name val="Roboto"/>
    </font>
    <font>
      <color rgb="FF434343"/>
      <name val="Arial"/>
    </font>
    <font>
      <b/>
      <sz val="12.0"/>
      <color rgb="FFFFFFFF"/>
      <name val="Arial"/>
    </font>
    <font>
      <b/>
      <sz val="12.0"/>
      <color rgb="FFFDBC49"/>
      <name val="Arial"/>
    </font>
    <font>
      <sz val="12.0"/>
      <color rgb="FFFFFFFF"/>
      <name val="Arial"/>
    </font>
    <font>
      <sz val="10.0"/>
      <color rgb="FFFFFFFF"/>
      <name val="Arial"/>
    </font>
    <font>
      <color rgb="FF000000"/>
      <name val="Arial"/>
    </font>
    <font>
      <b/>
      <sz val="11.0"/>
      <color rgb="FFFFFFFF"/>
      <name val="Arial"/>
    </font>
    <font>
      <b/>
      <color rgb="FFFF6861"/>
      <name val="Arial"/>
    </font>
    <font>
      <b/>
      <color rgb="FFFDBC49"/>
      <name val="Arial"/>
    </font>
    <font>
      <b/>
      <sz val="12.0"/>
      <color rgb="FFFF6861"/>
      <name val="Arial"/>
    </font>
    <font>
      <b/>
      <sz val="12.0"/>
      <color rgb="FF6FA8D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9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</border>
    <border>
      <left style="hair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</border>
    <border>
      <left style="medium">
        <color rgb="FF000000"/>
      </left>
      <right style="hair">
        <color rgb="FF000000"/>
      </right>
    </border>
    <border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76A5AF"/>
      </left>
      <right style="thin">
        <color rgb="FF76A5AF"/>
      </right>
      <top style="thin">
        <color rgb="FF000000"/>
      </top>
      <bottom style="thin">
        <color rgb="FF76A5AF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2" fontId="2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" fillId="3" fontId="1" numFmtId="164" xfId="0" applyAlignment="1" applyBorder="1" applyFill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1" fillId="3" fontId="1" numFmtId="165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0" fillId="0" fontId="3" numFmtId="0" xfId="0" applyAlignment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2" fontId="3" numFmtId="0" xfId="0" applyAlignment="1" applyBorder="1" applyFont="1">
      <alignment horizontal="center" readingOrder="0" vertical="center"/>
    </xf>
    <xf borderId="14" fillId="2" fontId="3" numFmtId="0" xfId="0" applyAlignment="1" applyBorder="1" applyFont="1">
      <alignment horizontal="center" readingOrder="0" vertical="center"/>
    </xf>
    <xf borderId="15" fillId="2" fontId="3" numFmtId="0" xfId="0" applyAlignment="1" applyBorder="1" applyFont="1">
      <alignment horizontal="center" readingOrder="0" vertical="center"/>
    </xf>
    <xf borderId="16" fillId="0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18" fillId="0" fontId="6" numFmtId="0" xfId="0" applyBorder="1" applyFont="1"/>
    <xf borderId="19" fillId="0" fontId="6" numFmtId="0" xfId="0" applyBorder="1" applyFont="1"/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readingOrder="0" vertical="center"/>
    </xf>
    <xf borderId="23" fillId="0" fontId="6" numFmtId="0" xfId="0" applyBorder="1" applyFont="1"/>
    <xf borderId="24" fillId="0" fontId="6" numFmtId="0" xfId="0" applyBorder="1" applyFont="1"/>
    <xf borderId="20" fillId="0" fontId="3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readingOrder="0" vertical="center"/>
    </xf>
    <xf borderId="16" fillId="0" fontId="6" numFmtId="0" xfId="0" applyBorder="1" applyFont="1"/>
    <xf borderId="20" fillId="0" fontId="6" numFmtId="0" xfId="0" applyBorder="1" applyFont="1"/>
    <xf borderId="25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/>
    </xf>
    <xf borderId="16" fillId="0" fontId="2" numFmtId="0" xfId="0" applyBorder="1" applyFont="1"/>
    <xf borderId="30" fillId="0" fontId="3" numFmtId="0" xfId="0" applyAlignment="1" applyBorder="1" applyFont="1">
      <alignment horizontal="center" readingOrder="0" vertical="center"/>
    </xf>
    <xf borderId="29" fillId="0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25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0" fontId="4" numFmtId="0" xfId="0" applyAlignment="1" applyBorder="1" applyFont="1">
      <alignment horizontal="center" readingOrder="0" vertical="center"/>
    </xf>
    <xf borderId="26" fillId="0" fontId="3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horizontal="center" readingOrder="0" vertical="center"/>
    </xf>
    <xf borderId="35" fillId="0" fontId="3" numFmtId="0" xfId="0" applyAlignment="1" applyBorder="1" applyFont="1">
      <alignment horizontal="center" readingOrder="0" vertical="center"/>
    </xf>
    <xf borderId="20" fillId="0" fontId="2" numFmtId="0" xfId="0" applyBorder="1" applyFont="1"/>
    <xf borderId="36" fillId="0" fontId="6" numFmtId="0" xfId="0" applyBorder="1" applyFont="1"/>
    <xf borderId="37" fillId="0" fontId="6" numFmtId="0" xfId="0" applyBorder="1" applyFont="1"/>
    <xf borderId="35" fillId="5" fontId="3" numFmtId="0" xfId="0" applyAlignment="1" applyBorder="1" applyFill="1" applyFont="1">
      <alignment horizontal="center" readingOrder="0" vertical="center"/>
    </xf>
    <xf borderId="38" fillId="0" fontId="6" numFmtId="0" xfId="0" applyBorder="1" applyFont="1"/>
    <xf borderId="34" fillId="5" fontId="3" numFmtId="0" xfId="0" applyAlignment="1" applyBorder="1" applyFont="1">
      <alignment horizontal="center" readingOrder="0" vertical="center"/>
    </xf>
    <xf borderId="39" fillId="0" fontId="3" numFmtId="0" xfId="0" applyAlignment="1" applyBorder="1" applyFont="1">
      <alignment horizontal="center" readingOrder="0" vertical="center"/>
    </xf>
    <xf borderId="40" fillId="0" fontId="3" numFmtId="0" xfId="0" applyAlignment="1" applyBorder="1" applyFont="1">
      <alignment horizontal="center" readingOrder="0" vertical="center"/>
    </xf>
    <xf borderId="41" fillId="0" fontId="6" numFmtId="0" xfId="0" applyBorder="1" applyFont="1"/>
    <xf borderId="21" fillId="0" fontId="4" numFmtId="0" xfId="0" applyAlignment="1" applyBorder="1" applyFont="1">
      <alignment horizontal="center" readingOrder="0" vertical="center"/>
    </xf>
    <xf borderId="42" fillId="0" fontId="6" numFmtId="0" xfId="0" applyBorder="1" applyFont="1"/>
    <xf borderId="43" fillId="0" fontId="6" numFmtId="0" xfId="0" applyBorder="1" applyFont="1"/>
    <xf borderId="44" fillId="0" fontId="4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6" fillId="0" fontId="3" numFmtId="0" xfId="0" applyAlignment="1" applyBorder="1" applyFont="1">
      <alignment horizontal="center" readingOrder="0" vertical="center"/>
    </xf>
    <xf borderId="45" fillId="0" fontId="4" numFmtId="0" xfId="0" applyAlignment="1" applyBorder="1" applyFont="1">
      <alignment horizontal="center" readingOrder="0" vertical="center"/>
    </xf>
    <xf borderId="46" fillId="0" fontId="3" numFmtId="0" xfId="0" applyAlignment="1" applyBorder="1" applyFont="1">
      <alignment horizontal="center" readingOrder="0" vertical="center"/>
    </xf>
    <xf borderId="28" fillId="5" fontId="3" numFmtId="0" xfId="0" applyAlignment="1" applyBorder="1" applyFont="1">
      <alignment horizontal="center" readingOrder="0" vertical="center"/>
    </xf>
    <xf borderId="29" fillId="0" fontId="2" numFmtId="0" xfId="0" applyAlignment="1" applyBorder="1" applyFont="1">
      <alignment horizontal="center" readingOrder="0"/>
    </xf>
    <xf borderId="27" fillId="0" fontId="2" numFmtId="0" xfId="0" applyBorder="1" applyFont="1"/>
    <xf borderId="33" fillId="0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8" fillId="0" fontId="6" numFmtId="0" xfId="0" applyBorder="1" applyFont="1"/>
    <xf borderId="29" fillId="0" fontId="2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 vertical="center"/>
    </xf>
    <xf borderId="49" fillId="0" fontId="6" numFmtId="0" xfId="0" applyBorder="1" applyFont="1"/>
    <xf borderId="44" fillId="0" fontId="2" numFmtId="0" xfId="0" applyAlignment="1" applyBorder="1" applyFont="1">
      <alignment horizontal="center" readingOrder="0" vertical="center"/>
    </xf>
    <xf borderId="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1" fillId="0" fontId="2" numFmtId="0" xfId="0" applyAlignment="1" applyBorder="1" applyFont="1">
      <alignment horizontal="center" vertical="center"/>
    </xf>
    <xf borderId="52" fillId="0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Font="1"/>
    <xf borderId="1" fillId="6" fontId="7" numFmtId="0" xfId="0" applyAlignment="1" applyBorder="1" applyFill="1" applyFont="1">
      <alignment horizontal="center" vertical="bottom"/>
    </xf>
    <xf borderId="1" fillId="6" fontId="7" numFmtId="49" xfId="0" applyAlignment="1" applyBorder="1" applyFont="1" applyNumberFormat="1">
      <alignment horizontal="center" vertical="bottom"/>
    </xf>
    <xf borderId="1" fillId="7" fontId="4" numFmtId="0" xfId="0" applyAlignment="1" applyBorder="1" applyFill="1" applyFont="1">
      <alignment horizontal="center"/>
    </xf>
    <xf borderId="1" fillId="7" fontId="4" numFmtId="49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readingOrder="0" vertical="bottom"/>
    </xf>
    <xf borderId="53" fillId="8" fontId="4" numFmtId="3" xfId="0" applyAlignment="1" applyBorder="1" applyFill="1" applyFont="1" applyNumberFormat="1">
      <alignment horizontal="center" readingOrder="0" vertical="bottom"/>
    </xf>
    <xf borderId="1" fillId="7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0" fillId="0" fontId="8" numFmtId="0" xfId="0" applyAlignment="1" applyFon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0" fillId="0" fontId="8" numFmtId="3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54" fillId="7" fontId="4" numFmtId="166" xfId="0" applyAlignment="1" applyBorder="1" applyFont="1" applyNumberFormat="1">
      <alignment horizontal="center" shrinkToFit="0" vertical="center" wrapText="0"/>
    </xf>
    <xf borderId="54" fillId="7" fontId="4" numFmtId="0" xfId="0" applyAlignment="1" applyBorder="1" applyFont="1">
      <alignment horizontal="center" readingOrder="0" shrinkToFit="0" vertical="center" wrapText="0"/>
    </xf>
    <xf borderId="54" fillId="7" fontId="9" numFmtId="0" xfId="0" applyAlignment="1" applyBorder="1" applyFont="1">
      <alignment horizontal="center" readingOrder="0" shrinkToFit="0" vertical="center" wrapText="0"/>
    </xf>
    <xf borderId="54" fillId="7" fontId="4" numFmtId="3" xfId="0" applyAlignment="1" applyBorder="1" applyFont="1" applyNumberFormat="1">
      <alignment horizontal="center" readingOrder="0" shrinkToFit="0" vertical="center" wrapText="0"/>
    </xf>
    <xf borderId="54" fillId="7" fontId="4" numFmtId="3" xfId="0" applyAlignment="1" applyBorder="1" applyFont="1" applyNumberFormat="1">
      <alignment horizontal="center" shrinkToFit="0" vertical="center" wrapText="0"/>
    </xf>
    <xf borderId="54" fillId="8" fontId="10" numFmtId="0" xfId="0" applyAlignment="1" applyBorder="1" applyFont="1">
      <alignment horizontal="center" shrinkToFit="0" vertical="center" wrapText="0"/>
    </xf>
    <xf borderId="54" fillId="7" fontId="4" numFmtId="0" xfId="0" applyAlignment="1" applyBorder="1" applyFont="1">
      <alignment horizontal="center" shrinkToFit="0" vertical="center" wrapText="0"/>
    </xf>
    <xf borderId="0" fillId="7" fontId="4" numFmtId="0" xfId="0" applyAlignment="1" applyFont="1">
      <alignment horizontal="center" shrinkToFit="0" vertical="center" wrapText="0"/>
    </xf>
    <xf borderId="46" fillId="7" fontId="4" numFmtId="166" xfId="0" applyAlignment="1" applyBorder="1" applyFont="1" applyNumberFormat="1">
      <alignment horizontal="center" shrinkToFit="0" vertical="center" wrapText="0"/>
    </xf>
    <xf borderId="46" fillId="7" fontId="4" numFmtId="0" xfId="0" applyAlignment="1" applyBorder="1" applyFont="1">
      <alignment horizontal="center" readingOrder="0" shrinkToFit="0" vertical="center" wrapText="0"/>
    </xf>
    <xf borderId="46" fillId="7" fontId="9" numFmtId="3" xfId="0" applyAlignment="1" applyBorder="1" applyFont="1" applyNumberFormat="1">
      <alignment horizontal="center" readingOrder="0" shrinkToFit="0" vertical="center" wrapText="0"/>
    </xf>
    <xf borderId="46" fillId="7" fontId="4" numFmtId="3" xfId="0" applyAlignment="1" applyBorder="1" applyFont="1" applyNumberFormat="1">
      <alignment horizontal="center" shrinkToFit="0" vertical="center" wrapText="0"/>
    </xf>
    <xf borderId="46" fillId="7" fontId="4" numFmtId="0" xfId="0" applyAlignment="1" applyBorder="1" applyFont="1">
      <alignment horizontal="center" shrinkToFit="0" vertical="center" wrapText="0"/>
    </xf>
    <xf borderId="46" fillId="8" fontId="4" numFmtId="166" xfId="0" applyAlignment="1" applyBorder="1" applyFont="1" applyNumberFormat="1">
      <alignment horizontal="center" shrinkToFit="0" vertical="center" wrapText="0"/>
    </xf>
    <xf borderId="46" fillId="8" fontId="4" numFmtId="0" xfId="0" applyAlignment="1" applyBorder="1" applyFont="1">
      <alignment horizontal="center" readingOrder="0" shrinkToFit="0" vertical="center" wrapText="0"/>
    </xf>
    <xf borderId="46" fillId="8" fontId="4" numFmtId="3" xfId="0" applyAlignment="1" applyBorder="1" applyFont="1" applyNumberFormat="1">
      <alignment horizontal="center" readingOrder="0" shrinkToFit="0" vertical="center" wrapText="0"/>
    </xf>
    <xf borderId="46" fillId="8" fontId="4" numFmtId="3" xfId="0" applyAlignment="1" applyBorder="1" applyFont="1" applyNumberFormat="1">
      <alignment horizontal="center" shrinkToFit="0" vertical="center" wrapText="0"/>
    </xf>
    <xf borderId="46" fillId="8" fontId="4" numFmtId="0" xfId="0" applyAlignment="1" applyBorder="1" applyFont="1">
      <alignment horizontal="center" shrinkToFit="0" vertical="center" wrapText="0"/>
    </xf>
    <xf borderId="0" fillId="8" fontId="4" numFmtId="0" xfId="0" applyAlignment="1" applyFont="1">
      <alignment horizontal="center" shrinkToFit="0" vertical="center" wrapText="0"/>
    </xf>
    <xf borderId="46" fillId="7" fontId="4" numFmtId="3" xfId="0" applyAlignment="1" applyBorder="1" applyFont="1" applyNumberFormat="1">
      <alignment horizontal="center" readingOrder="0" shrinkToFit="0" vertical="center" wrapText="0"/>
    </xf>
    <xf borderId="0" fillId="7" fontId="4" numFmtId="0" xfId="0" applyAlignment="1" applyFont="1">
      <alignment horizontal="center" readingOrder="0" shrinkToFit="0" vertical="center" wrapText="0"/>
    </xf>
    <xf borderId="55" fillId="7" fontId="4" numFmtId="166" xfId="0" applyAlignment="1" applyBorder="1" applyFont="1" applyNumberFormat="1">
      <alignment horizontal="center" shrinkToFit="0" vertical="center" wrapText="0"/>
    </xf>
    <xf borderId="55" fillId="7" fontId="4" numFmtId="0" xfId="0" applyAlignment="1" applyBorder="1" applyFont="1">
      <alignment horizontal="center" readingOrder="0" shrinkToFit="0" vertical="center" wrapText="0"/>
    </xf>
    <xf borderId="55" fillId="7" fontId="4" numFmtId="3" xfId="0" applyAlignment="1" applyBorder="1" applyFont="1" applyNumberFormat="1">
      <alignment horizontal="center" readingOrder="0" shrinkToFit="0" vertical="center" wrapText="0"/>
    </xf>
    <xf borderId="55" fillId="8" fontId="4" numFmtId="3" xfId="0" applyAlignment="1" applyBorder="1" applyFont="1" applyNumberFormat="1">
      <alignment horizontal="center" shrinkToFit="0" vertical="center" wrapText="0"/>
    </xf>
    <xf borderId="55" fillId="8" fontId="4" numFmtId="0" xfId="0" applyAlignment="1" applyBorder="1" applyFont="1">
      <alignment horizontal="center" shrinkToFit="0" vertical="center" wrapText="0"/>
    </xf>
    <xf borderId="48" fillId="7" fontId="4" numFmtId="166" xfId="0" applyAlignment="1" applyBorder="1" applyFont="1" applyNumberFormat="1">
      <alignment horizontal="center" shrinkToFit="0" vertical="center" wrapText="0"/>
    </xf>
    <xf borderId="48" fillId="7" fontId="9" numFmtId="0" xfId="0" applyAlignment="1" applyBorder="1" applyFont="1">
      <alignment horizontal="center" readingOrder="0" shrinkToFit="0" vertical="center" wrapText="0"/>
    </xf>
    <xf borderId="48" fillId="7" fontId="9" numFmtId="3" xfId="0" applyAlignment="1" applyBorder="1" applyFont="1" applyNumberFormat="1">
      <alignment horizontal="center" readingOrder="0" shrinkToFit="0" vertical="center" wrapText="0"/>
    </xf>
    <xf borderId="48" fillId="7" fontId="9" numFmtId="3" xfId="0" applyAlignment="1" applyBorder="1" applyFont="1" applyNumberFormat="1">
      <alignment horizontal="center" shrinkToFit="0" vertical="center" wrapText="0"/>
    </xf>
    <xf borderId="48" fillId="8" fontId="10" numFmtId="3" xfId="0" applyAlignment="1" applyBorder="1" applyFont="1" applyNumberFormat="1">
      <alignment horizontal="center" shrinkToFit="0" vertical="center" wrapText="0"/>
    </xf>
    <xf borderId="48" fillId="7" fontId="9" numFmtId="0" xfId="0" applyAlignment="1" applyBorder="1" applyFont="1">
      <alignment horizontal="center" shrinkToFit="0" vertical="center" wrapText="0"/>
    </xf>
    <xf borderId="0" fillId="7" fontId="9" numFmtId="0" xfId="0" applyAlignment="1" applyFont="1">
      <alignment horizontal="center" shrinkToFit="0" vertical="center" wrapText="0"/>
    </xf>
    <xf borderId="46" fillId="8" fontId="9" numFmtId="0" xfId="0" applyAlignment="1" applyBorder="1" applyFont="1">
      <alignment horizontal="center" readingOrder="0" shrinkToFit="0" vertical="center" wrapText="0"/>
    </xf>
    <xf borderId="46" fillId="8" fontId="9" numFmtId="0" xfId="0" applyAlignment="1" applyBorder="1" applyFont="1">
      <alignment horizontal="center" shrinkToFit="0" vertical="center" wrapText="0"/>
    </xf>
    <xf borderId="46" fillId="7" fontId="9" numFmtId="0" xfId="0" applyAlignment="1" applyBorder="1" applyFont="1">
      <alignment horizontal="center" readingOrder="0" shrinkToFit="0" vertical="center" wrapText="0"/>
    </xf>
    <xf borderId="46" fillId="7" fontId="9" numFmtId="0" xfId="0" applyAlignment="1" applyBorder="1" applyFont="1">
      <alignment horizontal="center" shrinkToFit="0" vertical="center" wrapText="0"/>
    </xf>
    <xf borderId="46" fillId="7" fontId="10" numFmtId="166" xfId="0" applyAlignment="1" applyBorder="1" applyFont="1" applyNumberFormat="1">
      <alignment horizontal="center" shrinkToFit="0" vertical="center" wrapText="0"/>
    </xf>
    <xf borderId="46" fillId="8" fontId="9" numFmtId="3" xfId="0" applyAlignment="1" applyBorder="1" applyFont="1" applyNumberFormat="1">
      <alignment horizontal="center" readingOrder="0" shrinkToFit="0" vertical="center" wrapText="0"/>
    </xf>
    <xf borderId="39" fillId="8" fontId="4" numFmtId="166" xfId="0" applyAlignment="1" applyBorder="1" applyFont="1" applyNumberFormat="1">
      <alignment horizontal="center" shrinkToFit="0" vertical="center" wrapText="0"/>
    </xf>
    <xf borderId="39" fillId="8" fontId="9" numFmtId="0" xfId="0" applyAlignment="1" applyBorder="1" applyFont="1">
      <alignment horizontal="center" readingOrder="0" shrinkToFit="0" vertical="center" wrapText="0"/>
    </xf>
    <xf borderId="39" fillId="8" fontId="9" numFmtId="3" xfId="0" applyAlignment="1" applyBorder="1" applyFont="1" applyNumberFormat="1">
      <alignment horizontal="center" readingOrder="0" shrinkToFit="0" vertical="center" wrapText="0"/>
    </xf>
    <xf borderId="39" fillId="8" fontId="4" numFmtId="3" xfId="0" applyAlignment="1" applyBorder="1" applyFont="1" applyNumberFormat="1">
      <alignment horizontal="center" shrinkToFit="0" vertical="center" wrapText="0"/>
    </xf>
    <xf borderId="39" fillId="8" fontId="9" numFmtId="0" xfId="0" applyAlignment="1" applyBorder="1" applyFont="1">
      <alignment horizontal="center" shrinkToFit="0" vertical="center" wrapText="0"/>
    </xf>
    <xf borderId="39" fillId="8" fontId="4" numFmtId="0" xfId="0" applyAlignment="1" applyBorder="1" applyFont="1">
      <alignment horizontal="center" shrinkToFit="0" vertical="center" wrapText="0"/>
    </xf>
    <xf borderId="54" fillId="7" fontId="10" numFmtId="166" xfId="0" applyAlignment="1" applyBorder="1" applyFont="1" applyNumberFormat="1">
      <alignment horizontal="center" shrinkToFit="0" vertical="center" wrapText="0"/>
    </xf>
    <xf borderId="54" fillId="7" fontId="10" numFmtId="0" xfId="0" applyAlignment="1" applyBorder="1" applyFont="1">
      <alignment horizontal="center" shrinkToFit="0" vertical="center" wrapText="0"/>
    </xf>
    <xf borderId="54" fillId="7" fontId="9" numFmtId="0" xfId="0" applyAlignment="1" applyBorder="1" applyFont="1">
      <alignment horizontal="center" shrinkToFit="0" vertical="center" wrapText="0"/>
    </xf>
    <xf borderId="54" fillId="7" fontId="10" numFmtId="3" xfId="0" applyAlignment="1" applyBorder="1" applyFont="1" applyNumberFormat="1">
      <alignment horizontal="center" shrinkToFit="0" vertical="center" wrapText="0"/>
    </xf>
    <xf borderId="54" fillId="8" fontId="4" numFmtId="3" xfId="0" applyAlignment="1" applyBorder="1" applyFont="1" applyNumberFormat="1">
      <alignment horizontal="center" shrinkToFit="0" vertical="center" wrapText="0"/>
    </xf>
    <xf borderId="54" fillId="8" fontId="9" numFmtId="0" xfId="0" applyAlignment="1" applyBorder="1" applyFont="1">
      <alignment horizontal="center" shrinkToFit="0" vertical="center" wrapText="0"/>
    </xf>
    <xf borderId="54" fillId="8" fontId="4" numFmtId="0" xfId="0" applyAlignment="1" applyBorder="1" applyFont="1">
      <alignment horizontal="center" shrinkToFit="0" vertical="center" wrapText="0"/>
    </xf>
    <xf borderId="46" fillId="8" fontId="10" numFmtId="166" xfId="0" applyAlignment="1" applyBorder="1" applyFont="1" applyNumberFormat="1">
      <alignment horizontal="center" shrinkToFit="0" vertical="center" wrapText="0"/>
    </xf>
    <xf borderId="46" fillId="8" fontId="9" numFmtId="0" xfId="0" applyAlignment="1" applyBorder="1" applyFont="1">
      <alignment horizontal="center" shrinkToFit="0" vertical="center" wrapText="0"/>
    </xf>
    <xf borderId="46" fillId="8" fontId="10" numFmtId="3" xfId="0" applyAlignment="1" applyBorder="1" applyFont="1" applyNumberFormat="1">
      <alignment horizontal="center" shrinkToFit="0" vertical="center" wrapText="0"/>
    </xf>
    <xf borderId="46" fillId="7" fontId="9" numFmtId="0" xfId="0" applyAlignment="1" applyBorder="1" applyFont="1">
      <alignment horizontal="center" shrinkToFit="0" vertical="center" wrapText="0"/>
    </xf>
    <xf borderId="46" fillId="7" fontId="10" numFmtId="3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readingOrder="0" vertical="center"/>
    </xf>
    <xf borderId="46" fillId="8" fontId="10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vertical="center"/>
    </xf>
    <xf borderId="46" fillId="7" fontId="10" numFmtId="0" xfId="0" applyAlignment="1" applyBorder="1" applyFont="1">
      <alignment horizontal="center" shrinkToFit="0" vertical="center" wrapText="0"/>
    </xf>
    <xf borderId="0" fillId="0" fontId="2" numFmtId="0" xfId="0" applyFont="1"/>
    <xf borderId="0" fillId="0" fontId="4" numFmtId="3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6" xfId="0" applyFont="1" applyNumberForma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2" numFmtId="3" xfId="0" applyFont="1" applyNumberFormat="1"/>
    <xf borderId="0" fillId="0" fontId="2" numFmtId="166" xfId="0" applyFont="1" applyNumberFormat="1"/>
    <xf borderId="56" fillId="0" fontId="5" numFmtId="0" xfId="0" applyAlignment="1" applyBorder="1" applyFont="1">
      <alignment horizontal="center" readingOrder="0" vertical="center"/>
    </xf>
    <xf borderId="56" fillId="0" fontId="5" numFmtId="0" xfId="0" applyAlignment="1" applyBorder="1" applyFont="1">
      <alignment horizontal="center" readingOrder="0" shrinkToFit="0" vertical="center" wrapText="1"/>
    </xf>
    <xf borderId="57" fillId="0" fontId="4" numFmtId="0" xfId="0" applyAlignment="1" applyBorder="1" applyFont="1">
      <alignment horizontal="center" vertical="center"/>
    </xf>
    <xf borderId="58" fillId="0" fontId="4" numFmtId="0" xfId="0" applyAlignment="1" applyBorder="1" applyFont="1">
      <alignment horizontal="center" vertical="center"/>
    </xf>
    <xf borderId="59" fillId="0" fontId="3" numFmtId="0" xfId="0" applyAlignment="1" applyBorder="1" applyFont="1">
      <alignment horizontal="center" readingOrder="0" vertical="center"/>
    </xf>
    <xf borderId="60" fillId="0" fontId="3" numFmtId="0" xfId="0" applyAlignment="1" applyBorder="1" applyFont="1">
      <alignment horizontal="center" vertical="center"/>
    </xf>
    <xf borderId="61" fillId="0" fontId="3" numFmtId="0" xfId="0" applyAlignment="1" applyBorder="1" applyFont="1">
      <alignment horizontal="center" vertical="center"/>
    </xf>
    <xf borderId="62" fillId="0" fontId="3" numFmtId="0" xfId="0" applyAlignment="1" applyBorder="1" applyFont="1">
      <alignment horizontal="center" vertical="center"/>
    </xf>
    <xf borderId="63" fillId="0" fontId="4" numFmtId="0" xfId="0" applyAlignment="1" applyBorder="1" applyFont="1">
      <alignment horizontal="center" vertical="center"/>
    </xf>
    <xf borderId="64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59" fillId="2" fontId="3" numFmtId="0" xfId="0" applyAlignment="1" applyBorder="1" applyFont="1">
      <alignment horizontal="center" readingOrder="0" vertical="center"/>
    </xf>
    <xf borderId="61" fillId="2" fontId="3" numFmtId="0" xfId="0" applyAlignment="1" applyBorder="1" applyFont="1">
      <alignment horizontal="center" readingOrder="0" vertical="center"/>
    </xf>
    <xf borderId="62" fillId="2" fontId="3" numFmtId="0" xfId="0" applyAlignment="1" applyBorder="1" applyFont="1">
      <alignment horizontal="center" readingOrder="0" vertical="center"/>
    </xf>
    <xf borderId="0" fillId="9" fontId="11" numFmtId="0" xfId="0" applyAlignment="1" applyFill="1" applyFon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9" fontId="4" numFmtId="0" xfId="0" applyAlignment="1" applyFont="1">
      <alignment horizontal="center" vertical="center"/>
    </xf>
    <xf borderId="65" fillId="9" fontId="4" numFmtId="0" xfId="0" applyAlignment="1" applyBorder="1" applyFont="1">
      <alignment horizontal="center" vertical="center"/>
    </xf>
    <xf borderId="0" fillId="9" fontId="13" numFmtId="0" xfId="0" applyAlignment="1" applyFont="1">
      <alignment horizontal="center" readingOrder="0" vertical="center"/>
    </xf>
    <xf borderId="0" fillId="9" fontId="14" numFmtId="0" xfId="0" applyAlignment="1" applyFont="1">
      <alignment horizontal="center" readingOrder="0" vertical="center"/>
    </xf>
    <xf borderId="66" fillId="0" fontId="3" numFmtId="0" xfId="0" applyAlignment="1" applyBorder="1" applyFont="1">
      <alignment horizontal="center" readingOrder="0" shrinkToFit="0" vertical="center" wrapText="1"/>
    </xf>
    <xf borderId="41" fillId="0" fontId="4" numFmtId="0" xfId="0" applyAlignment="1" applyBorder="1" applyFont="1">
      <alignment horizontal="center" readingOrder="0" shrinkToFit="0" vertical="center" wrapText="1"/>
    </xf>
    <xf borderId="32" fillId="0" fontId="4" numFmtId="0" xfId="0" applyAlignment="1" applyBorder="1" applyFont="1">
      <alignment horizontal="center" readingOrder="0" shrinkToFit="0" vertical="center" wrapText="1"/>
    </xf>
    <xf borderId="41" fillId="0" fontId="4" numFmtId="0" xfId="0" applyAlignment="1" applyBorder="1" applyFont="1">
      <alignment horizontal="center" readingOrder="0" vertical="center"/>
    </xf>
    <xf borderId="46" fillId="0" fontId="4" numFmtId="3" xfId="0" applyAlignment="1" applyBorder="1" applyFont="1" applyNumberFormat="1">
      <alignment horizontal="center" readingOrder="0" vertical="center"/>
    </xf>
    <xf borderId="46" fillId="0" fontId="4" numFmtId="0" xfId="0" applyAlignment="1" applyBorder="1" applyFont="1">
      <alignment horizontal="center" readingOrder="0" vertical="center"/>
    </xf>
    <xf borderId="65" fillId="0" fontId="4" numFmtId="0" xfId="0" applyAlignment="1" applyBorder="1" applyFont="1">
      <alignment horizontal="center" vertical="center"/>
    </xf>
    <xf borderId="66" fillId="0" fontId="6" numFmtId="0" xfId="0" applyBorder="1" applyFont="1"/>
    <xf borderId="28" fillId="0" fontId="4" numFmtId="0" xfId="0" applyAlignment="1" applyBorder="1" applyFont="1">
      <alignment horizontal="center" readingOrder="0" shrinkToFit="0" vertical="center" wrapText="1"/>
    </xf>
    <xf borderId="39" fillId="0" fontId="4" numFmtId="3" xfId="0" applyAlignment="1" applyBorder="1" applyFont="1" applyNumberFormat="1">
      <alignment horizontal="center" readingOrder="0" vertical="center"/>
    </xf>
    <xf borderId="39" fillId="0" fontId="4" numFmtId="0" xfId="0" applyAlignment="1" applyBorder="1" applyFont="1">
      <alignment horizontal="center" readingOrder="0" vertical="center"/>
    </xf>
    <xf borderId="67" fillId="0" fontId="3" numFmtId="0" xfId="0" applyAlignment="1" applyBorder="1" applyFont="1">
      <alignment horizontal="center" readingOrder="0" shrinkToFit="0" vertical="center" wrapText="1"/>
    </xf>
    <xf borderId="54" fillId="0" fontId="4" numFmtId="0" xfId="0" applyAlignment="1" applyBorder="1" applyFont="1">
      <alignment horizontal="center" readingOrder="0" vertical="center"/>
    </xf>
    <xf borderId="54" fillId="0" fontId="15" numFmtId="0" xfId="0" applyAlignment="1" applyBorder="1" applyFont="1">
      <alignment horizontal="center" readingOrder="0" shrinkToFit="0" vertical="center" wrapText="1"/>
    </xf>
    <xf borderId="54" fillId="0" fontId="4" numFmtId="3" xfId="0" applyAlignment="1" applyBorder="1" applyFont="1" applyNumberFormat="1">
      <alignment horizontal="center" readingOrder="0" vertical="center"/>
    </xf>
    <xf borderId="39" fillId="0" fontId="15" numFmtId="0" xfId="0" applyAlignment="1" applyBorder="1" applyFont="1">
      <alignment horizontal="center" readingOrder="0" shrinkToFit="0" vertical="center" wrapText="1"/>
    </xf>
    <xf borderId="67" fillId="0" fontId="4" numFmtId="0" xfId="0" applyAlignment="1" applyBorder="1" applyFont="1">
      <alignment horizontal="center" readingOrder="0" vertical="center"/>
    </xf>
    <xf borderId="54" fillId="0" fontId="4" numFmtId="0" xfId="0" applyAlignment="1" applyBorder="1" applyFont="1">
      <alignment horizontal="center" readingOrder="0" shrinkToFit="0" vertical="center" wrapText="1"/>
    </xf>
    <xf borderId="39" fillId="0" fontId="4" numFmtId="0" xfId="0" applyAlignment="1" applyBorder="1" applyFont="1">
      <alignment horizontal="center" readingOrder="0" shrinkToFit="0" vertical="center" wrapText="1"/>
    </xf>
    <xf borderId="67" fillId="0" fontId="4" numFmtId="0" xfId="0" applyAlignment="1" applyBorder="1" applyFont="1">
      <alignment horizontal="center" readingOrder="0" shrinkToFit="0" vertical="center" wrapText="1"/>
    </xf>
    <xf borderId="54" fillId="0" fontId="4" numFmtId="0" xfId="0" applyAlignment="1" applyBorder="1" applyFont="1">
      <alignment horizontal="center" vertical="center"/>
    </xf>
    <xf borderId="46" fillId="0" fontId="4" numFmtId="0" xfId="0" applyAlignment="1" applyBorder="1" applyFont="1">
      <alignment horizontal="center" readingOrder="0" shrinkToFit="0" vertical="center" wrapText="1"/>
    </xf>
    <xf borderId="46" fillId="0" fontId="4" numFmtId="0" xfId="0" applyAlignment="1" applyBorder="1" applyFont="1">
      <alignment horizontal="center" vertical="center"/>
    </xf>
    <xf borderId="39" fillId="0" fontId="3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horizontal="center" vertical="center"/>
    </xf>
    <xf borderId="68" fillId="9" fontId="11" numFmtId="0" xfId="0" applyAlignment="1" applyBorder="1" applyFont="1">
      <alignment horizontal="center" readingOrder="0" vertical="center"/>
    </xf>
    <xf borderId="46" fillId="9" fontId="12" numFmtId="0" xfId="0" applyAlignment="1" applyBorder="1" applyFont="1">
      <alignment horizontal="center" readingOrder="0" vertical="center"/>
    </xf>
    <xf borderId="46" fillId="9" fontId="4" numFmtId="0" xfId="0" applyAlignment="1" applyBorder="1" applyFont="1">
      <alignment horizontal="center" vertical="center"/>
    </xf>
    <xf borderId="46" fillId="9" fontId="13" numFmtId="0" xfId="0" applyAlignment="1" applyBorder="1" applyFont="1">
      <alignment horizontal="center" readingOrder="0" vertical="center"/>
    </xf>
    <xf borderId="35" fillId="9" fontId="14" numFmtId="0" xfId="0" applyAlignment="1" applyBorder="1" applyFont="1">
      <alignment horizontal="center" readingOrder="0" vertical="center"/>
    </xf>
    <xf borderId="69" fillId="9" fontId="13" numFmtId="0" xfId="0" applyAlignment="1" applyBorder="1" applyFont="1">
      <alignment horizontal="center" readingOrder="0" vertical="center"/>
    </xf>
    <xf borderId="70" fillId="0" fontId="6" numFmtId="0" xfId="0" applyBorder="1" applyFont="1"/>
    <xf borderId="39" fillId="0" fontId="4" numFmtId="0" xfId="0" applyAlignment="1" applyBorder="1" applyFont="1">
      <alignment horizontal="center" vertical="center"/>
    </xf>
    <xf borderId="67" fillId="0" fontId="3" numFmtId="0" xfId="0" applyAlignment="1" applyBorder="1" applyFont="1">
      <alignment horizontal="center" vertical="center"/>
    </xf>
    <xf borderId="54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67" fillId="0" fontId="3" numFmtId="0" xfId="0" applyAlignment="1" applyBorder="1" applyFont="1">
      <alignment horizontal="center" readingOrder="0" vertical="center"/>
    </xf>
    <xf borderId="63" fillId="0" fontId="6" numFmtId="0" xfId="0" applyBorder="1" applyFont="1"/>
    <xf borderId="71" fillId="0" fontId="6" numFmtId="0" xfId="0" applyBorder="1" applyFont="1"/>
    <xf borderId="55" fillId="0" fontId="4" numFmtId="0" xfId="0" applyAlignment="1" applyBorder="1" applyFont="1">
      <alignment horizontal="center" readingOrder="0" vertical="center"/>
    </xf>
    <xf borderId="55" fillId="0" fontId="4" numFmtId="0" xfId="0" applyAlignment="1" applyBorder="1" applyFont="1">
      <alignment horizontal="center" vertical="center"/>
    </xf>
    <xf borderId="72" fillId="6" fontId="7" numFmtId="0" xfId="0" applyAlignment="1" applyBorder="1" applyFont="1">
      <alignment readingOrder="0"/>
    </xf>
    <xf borderId="73" fillId="6" fontId="4" numFmtId="0" xfId="0" applyBorder="1" applyFont="1"/>
    <xf borderId="73" fillId="6" fontId="7" numFmtId="0" xfId="0" applyAlignment="1" applyBorder="1" applyFont="1">
      <alignment horizontal="center"/>
    </xf>
    <xf borderId="73" fillId="6" fontId="7" numFmtId="0" xfId="0" applyAlignment="1" applyBorder="1" applyFont="1">
      <alignment horizontal="center" vertical="center"/>
    </xf>
    <xf borderId="73" fillId="0" fontId="6" numFmtId="0" xfId="0" applyBorder="1" applyFont="1"/>
    <xf borderId="74" fillId="0" fontId="6" numFmtId="0" xfId="0" applyBorder="1" applyFont="1"/>
    <xf borderId="20" fillId="4" fontId="3" numFmtId="0" xfId="0" applyBorder="1" applyFont="1"/>
    <xf borderId="0" fillId="4" fontId="4" numFmtId="0" xfId="0" applyFont="1"/>
    <xf borderId="0" fillId="4" fontId="3" numFmtId="167" xfId="0" applyAlignment="1" applyFont="1" applyNumberFormat="1">
      <alignment horizontal="right"/>
    </xf>
    <xf borderId="0" fillId="4" fontId="3" numFmtId="3" xfId="0" applyAlignment="1" applyFont="1" applyNumberFormat="1">
      <alignment horizontal="right"/>
    </xf>
    <xf borderId="70" fillId="4" fontId="4" numFmtId="168" xfId="0" applyAlignment="1" applyBorder="1" applyFont="1" applyNumberFormat="1">
      <alignment vertical="center"/>
    </xf>
    <xf borderId="21" fillId="0" fontId="6" numFmtId="0" xfId="0" applyBorder="1" applyFont="1"/>
    <xf borderId="31" fillId="0" fontId="4" numFmtId="0" xfId="0" applyBorder="1" applyFont="1"/>
    <xf borderId="75" fillId="0" fontId="6" numFmtId="0" xfId="0" applyBorder="1" applyFont="1"/>
    <xf borderId="48" fillId="0" fontId="3" numFmtId="167" xfId="0" applyAlignment="1" applyBorder="1" applyFont="1" applyNumberFormat="1">
      <alignment horizontal="right"/>
    </xf>
    <xf borderId="32" fillId="0" fontId="3" numFmtId="3" xfId="0" applyAlignment="1" applyBorder="1" applyFont="1" applyNumberFormat="1">
      <alignment horizontal="right"/>
    </xf>
    <xf borderId="70" fillId="0" fontId="3" numFmtId="3" xfId="0" applyAlignment="1" applyBorder="1" applyFont="1" applyNumberFormat="1">
      <alignment horizontal="right" vertical="center"/>
    </xf>
    <xf borderId="0" fillId="4" fontId="3" numFmtId="0" xfId="0" applyAlignment="1" applyFont="1">
      <alignment horizontal="center"/>
    </xf>
    <xf borderId="48" fillId="0" fontId="4" numFmtId="0" xfId="0" applyAlignment="1" applyBorder="1" applyFont="1">
      <alignment horizontal="right"/>
    </xf>
    <xf borderId="48" fillId="0" fontId="4" numFmtId="10" xfId="0" applyAlignment="1" applyBorder="1" applyFont="1" applyNumberFormat="1">
      <alignment horizontal="right"/>
    </xf>
    <xf borderId="70" fillId="0" fontId="4" numFmtId="168" xfId="0" applyAlignment="1" applyBorder="1" applyFont="1" applyNumberFormat="1">
      <alignment horizontal="center" vertical="center"/>
    </xf>
    <xf borderId="30" fillId="0" fontId="4" numFmtId="0" xfId="0" applyBorder="1" applyFont="1"/>
    <xf borderId="76" fillId="0" fontId="6" numFmtId="0" xfId="0" applyBorder="1" applyFont="1"/>
    <xf borderId="39" fillId="0" fontId="4" numFmtId="0" xfId="0" applyAlignment="1" applyBorder="1" applyFont="1">
      <alignment horizontal="right"/>
    </xf>
    <xf borderId="39" fillId="0" fontId="4" numFmtId="10" xfId="0" applyAlignment="1" applyBorder="1" applyFont="1" applyNumberFormat="1">
      <alignment horizontal="right"/>
    </xf>
    <xf borderId="39" fillId="0" fontId="3" numFmtId="167" xfId="0" applyAlignment="1" applyBorder="1" applyFont="1" applyNumberFormat="1">
      <alignment horizontal="right"/>
    </xf>
    <xf borderId="20" fillId="0" fontId="4" numFmtId="0" xfId="0" applyBorder="1" applyFont="1"/>
    <xf borderId="41" fillId="0" fontId="3" numFmtId="167" xfId="0" applyAlignment="1" applyBorder="1" applyFont="1" applyNumberFormat="1">
      <alignment horizontal="right"/>
    </xf>
    <xf borderId="25" fillId="0" fontId="3" numFmtId="3" xfId="0" applyAlignment="1" applyBorder="1" applyFont="1" applyNumberFormat="1">
      <alignment horizontal="right" readingOrder="0"/>
    </xf>
    <xf borderId="70" fillId="0" fontId="4" numFmtId="0" xfId="0" applyAlignment="1" applyBorder="1" applyFont="1">
      <alignment horizontal="center" readingOrder="0" vertical="center"/>
    </xf>
    <xf borderId="72" fillId="10" fontId="3" numFmtId="0" xfId="0" applyBorder="1" applyFill="1" applyFont="1"/>
    <xf borderId="73" fillId="10" fontId="4" numFmtId="0" xfId="0" applyBorder="1" applyFont="1"/>
    <xf borderId="73" fillId="10" fontId="4" numFmtId="10" xfId="0" applyBorder="1" applyFont="1" applyNumberFormat="1"/>
    <xf borderId="74" fillId="10" fontId="3" numFmtId="3" xfId="0" applyAlignment="1" applyBorder="1" applyFont="1" applyNumberFormat="1">
      <alignment horizontal="right" readingOrder="0"/>
    </xf>
    <xf borderId="72" fillId="0" fontId="4" numFmtId="0" xfId="0" applyAlignment="1" applyBorder="1" applyFont="1">
      <alignment vertical="center"/>
    </xf>
    <xf borderId="56" fillId="0" fontId="5" numFmtId="0" xfId="0" applyAlignment="1" applyBorder="1" applyFont="1">
      <alignment horizontal="center" vertical="center"/>
    </xf>
    <xf borderId="56" fillId="0" fontId="5" numFmtId="0" xfId="0" applyAlignment="1" applyBorder="1" applyFont="1">
      <alignment horizontal="center" shrinkToFit="0" vertical="center" wrapText="1"/>
    </xf>
    <xf borderId="58" fillId="0" fontId="6" numFmtId="0" xfId="0" applyBorder="1" applyFont="1"/>
    <xf borderId="64" fillId="0" fontId="6" numFmtId="0" xfId="0" applyBorder="1" applyFont="1"/>
    <xf borderId="70" fillId="11" fontId="16" numFmtId="0" xfId="0" applyAlignment="1" applyBorder="1" applyFill="1" applyFont="1">
      <alignment horizontal="center" vertical="center"/>
    </xf>
    <xf borderId="0" fillId="11" fontId="4" numFmtId="0" xfId="0" applyAlignment="1" applyFont="1">
      <alignment horizontal="center" vertical="center"/>
    </xf>
    <xf borderId="70" fillId="11" fontId="4" numFmtId="0" xfId="0" applyAlignment="1" applyBorder="1" applyFont="1">
      <alignment horizontal="center" vertical="center"/>
    </xf>
    <xf borderId="70" fillId="9" fontId="11" numFmtId="0" xfId="0" applyAlignment="1" applyBorder="1" applyFont="1">
      <alignment horizontal="center" vertical="center"/>
    </xf>
    <xf borderId="0" fillId="9" fontId="12" numFmtId="0" xfId="0" applyAlignment="1" applyFont="1">
      <alignment horizontal="center" vertical="center"/>
    </xf>
    <xf borderId="70" fillId="9" fontId="13" numFmtId="0" xfId="0" applyAlignment="1" applyBorder="1" applyFont="1">
      <alignment horizontal="center" vertical="center"/>
    </xf>
    <xf borderId="0" fillId="9" fontId="13" numFmtId="0" xfId="0" applyAlignment="1" applyFont="1">
      <alignment horizontal="center" vertical="center"/>
    </xf>
    <xf borderId="70" fillId="0" fontId="3" numFmtId="0" xfId="0" applyAlignment="1" applyBorder="1" applyFont="1">
      <alignment horizontal="center" shrinkToFit="0" vertical="center" wrapText="1"/>
    </xf>
    <xf borderId="41" fillId="0" fontId="4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77" fillId="0" fontId="4" numFmtId="0" xfId="0" applyAlignment="1" applyBorder="1" applyFont="1">
      <alignment horizontal="center" vertical="center"/>
    </xf>
    <xf borderId="48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  <xf borderId="78" fillId="0" fontId="3" numFmtId="0" xfId="0" applyAlignment="1" applyBorder="1" applyFont="1">
      <alignment horizontal="center" shrinkToFit="0" vertical="center" wrapText="1"/>
    </xf>
    <xf borderId="79" fillId="0" fontId="4" numFmtId="0" xfId="0" applyAlignment="1" applyBorder="1" applyFont="1">
      <alignment horizontal="center" vertical="center"/>
    </xf>
    <xf borderId="78" fillId="0" fontId="4" numFmtId="0" xfId="0" applyAlignment="1" applyBorder="1" applyFont="1">
      <alignment horizontal="center" vertical="center"/>
    </xf>
    <xf quotePrefix="1" borderId="0" fillId="9" fontId="11" numFmtId="0" xfId="0" applyAlignment="1" applyFont="1">
      <alignment horizontal="center" vertical="center"/>
    </xf>
    <xf borderId="65" fillId="9" fontId="13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vertical="center"/>
    </xf>
    <xf borderId="32" fillId="0" fontId="17" numFmtId="0" xfId="0" applyAlignment="1" applyBorder="1" applyFont="1">
      <alignment horizontal="center" shrinkToFit="0" vertical="center" wrapText="1"/>
    </xf>
    <xf borderId="80" fillId="0" fontId="4" numFmtId="0" xfId="0" applyAlignment="1" applyBorder="1" applyFont="1">
      <alignment horizontal="center" vertical="center"/>
    </xf>
    <xf borderId="78" fillId="0" fontId="17" numFmtId="0" xfId="0" applyAlignment="1" applyBorder="1" applyFont="1">
      <alignment horizontal="center" shrinkToFit="0" vertical="center" wrapText="1"/>
    </xf>
    <xf borderId="80" fillId="0" fontId="6" numFmtId="0" xfId="0" applyBorder="1" applyFont="1"/>
    <xf borderId="78" fillId="0" fontId="18" numFmtId="0" xfId="0" applyAlignment="1" applyBorder="1" applyFont="1">
      <alignment horizontal="center" shrinkToFit="0" vertical="center" wrapText="1"/>
    </xf>
    <xf borderId="28" fillId="0" fontId="18" numFmtId="0" xfId="0" applyAlignment="1" applyBorder="1" applyFont="1">
      <alignment horizontal="center" shrinkToFit="0" vertical="center" wrapText="1"/>
    </xf>
    <xf borderId="81" fillId="0" fontId="4" numFmtId="0" xfId="0" applyAlignment="1" applyBorder="1" applyFont="1">
      <alignment horizontal="center" vertical="center"/>
    </xf>
    <xf borderId="82" fillId="0" fontId="6" numFmtId="0" xfId="0" applyBorder="1" applyFont="1"/>
    <xf borderId="59" fillId="9" fontId="19" numFmtId="0" xfId="0" applyAlignment="1" applyBorder="1" applyFont="1">
      <alignment horizontal="center" vertical="center"/>
    </xf>
    <xf borderId="83" fillId="0" fontId="6" numFmtId="0" xfId="0" applyBorder="1" applyFont="1"/>
    <xf borderId="84" fillId="0" fontId="4" numFmtId="0" xfId="0" applyAlignment="1" applyBorder="1" applyFont="1">
      <alignment horizontal="center" vertical="center"/>
    </xf>
    <xf borderId="68" fillId="0" fontId="3" numFmtId="0" xfId="0" applyAlignment="1" applyBorder="1" applyFont="1">
      <alignment horizontal="center" shrinkToFit="0" vertical="center" wrapText="1"/>
    </xf>
    <xf borderId="0" fillId="9" fontId="20" numFmtId="0" xfId="0" applyAlignment="1" applyFont="1">
      <alignment horizontal="center" vertical="center"/>
    </xf>
    <xf borderId="82" fillId="0" fontId="4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shrinkToFit="0" vertical="center" wrapText="1"/>
    </xf>
    <xf borderId="85" fillId="0" fontId="4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shrinkToFit="0" vertical="center" wrapText="1"/>
    </xf>
    <xf borderId="86" fillId="0" fontId="3" numFmtId="0" xfId="0" applyAlignment="1" applyBorder="1" applyFont="1">
      <alignment horizontal="center" shrinkToFit="0" vertical="center" wrapText="1"/>
    </xf>
    <xf borderId="87" fillId="0" fontId="6" numFmtId="0" xfId="0" applyBorder="1" applyFont="1"/>
    <xf borderId="88" fillId="0" fontId="3" numFmtId="0" xfId="0" applyAlignment="1" applyBorder="1" applyFont="1">
      <alignment horizontal="center" shrinkToFit="0" vertical="center" wrapText="1"/>
    </xf>
    <xf borderId="89" fillId="0" fontId="4" numFmtId="0" xfId="0" applyAlignment="1" applyBorder="1" applyFont="1">
      <alignment horizontal="center" vertical="center"/>
    </xf>
    <xf borderId="82" fillId="0" fontId="3" numFmtId="0" xfId="0" applyAlignment="1" applyBorder="1" applyFont="1">
      <alignment horizontal="center" shrinkToFit="0" vertical="center" wrapText="1"/>
    </xf>
    <xf borderId="90" fillId="0" fontId="6" numFmtId="0" xfId="0" applyBorder="1" applyFont="1"/>
    <xf borderId="91" fillId="0" fontId="3" numFmtId="0" xfId="0" applyAlignment="1" applyBorder="1" applyFont="1">
      <alignment horizontal="center" shrinkToFit="0" vertical="center" wrapText="1"/>
    </xf>
    <xf borderId="92" fillId="0" fontId="4" numFmtId="0" xfId="0" applyAlignment="1" applyBorder="1" applyFont="1">
      <alignment horizontal="center" vertical="center"/>
    </xf>
    <xf borderId="93" fillId="0" fontId="6" numFmtId="0" xfId="0" applyBorder="1" applyFont="1"/>
    <xf borderId="9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분기별 레버액션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I40" displayName="표1" name="표1" id="1">
  <tableColumns count="9">
    <tableColumn name="기간" id="1"/>
    <tableColumn name="핵심 KPI" id="2"/>
    <tableColumn name="레버" id="3"/>
    <tableColumn name="세부 레버" id="4"/>
    <tableColumn name="기여 목표" id="5"/>
    <tableColumn name="실제 기여" id="6"/>
    <tableColumn name="담당" id="7"/>
    <tableColumn name="결과" id="8"/>
    <tableColumn name="1열" id="9"/>
  </tableColumns>
  <tableStyleInfo name="분기별 레버액션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3" max="5" width="23.0"/>
    <col customWidth="1" min="6" max="7" width="19.75"/>
    <col customWidth="1" min="8" max="8" width="23.0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/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4" t="s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5"/>
      <c r="B3" s="6">
        <v>46357.0</v>
      </c>
      <c r="C3" s="7">
        <v>833682.0</v>
      </c>
      <c r="D3" s="7">
        <v>892040.0</v>
      </c>
      <c r="E3" s="8">
        <f t="shared" ref="E3:E52" si="1">D3-C3</f>
        <v>58358</v>
      </c>
      <c r="F3" s="7">
        <v>39710.0</v>
      </c>
      <c r="G3" s="7">
        <v>47651.0</v>
      </c>
      <c r="H3" s="8">
        <f t="shared" ref="H3:H52" si="2">G3-F3</f>
        <v>7941</v>
      </c>
      <c r="I3" s="2"/>
      <c r="J3" s="9" t="s">
        <v>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5"/>
      <c r="B4" s="6">
        <v>46327.0</v>
      </c>
      <c r="C4" s="7">
        <v>854931.0</v>
      </c>
      <c r="D4" s="7">
        <v>914776.0</v>
      </c>
      <c r="E4" s="8">
        <f t="shared" si="1"/>
        <v>59845</v>
      </c>
      <c r="F4" s="7">
        <v>37355.0</v>
      </c>
      <c r="G4" s="7">
        <v>44825.0</v>
      </c>
      <c r="H4" s="8">
        <f t="shared" si="2"/>
        <v>7470</v>
      </c>
      <c r="I4" s="2"/>
      <c r="J4" s="10" t="s">
        <v>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5"/>
      <c r="B5" s="11">
        <v>46296.0</v>
      </c>
      <c r="C5" s="7">
        <v>882259.0</v>
      </c>
      <c r="D5" s="7">
        <v>944017.0</v>
      </c>
      <c r="E5" s="8">
        <f t="shared" si="1"/>
        <v>61758</v>
      </c>
      <c r="F5" s="7">
        <v>36245.0</v>
      </c>
      <c r="G5" s="7">
        <v>41681.0</v>
      </c>
      <c r="H5" s="8">
        <f t="shared" si="2"/>
        <v>5436</v>
      </c>
      <c r="I5" s="2"/>
      <c r="J5" s="10" t="s">
        <v>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12"/>
      <c r="B6" s="13">
        <v>46266.0</v>
      </c>
      <c r="C6" s="7">
        <v>816397.0</v>
      </c>
      <c r="D6" s="7">
        <v>873545.0</v>
      </c>
      <c r="E6" s="8">
        <f t="shared" si="1"/>
        <v>57148</v>
      </c>
      <c r="F6" s="7">
        <v>31950.0</v>
      </c>
      <c r="G6" s="7">
        <v>35145.0</v>
      </c>
      <c r="H6" s="8">
        <f t="shared" si="2"/>
        <v>3195</v>
      </c>
      <c r="I6" s="2"/>
      <c r="J6" s="10" t="s">
        <v>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2"/>
      <c r="B7" s="14">
        <v>46235.0</v>
      </c>
      <c r="C7" s="7">
        <v>773244.0</v>
      </c>
      <c r="D7" s="7">
        <v>827371.0</v>
      </c>
      <c r="E7" s="8">
        <f t="shared" si="1"/>
        <v>54127</v>
      </c>
      <c r="F7" s="7">
        <v>26637.0</v>
      </c>
      <c r="G7" s="7">
        <v>29301.0</v>
      </c>
      <c r="H7" s="8">
        <f t="shared" si="2"/>
        <v>2664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12"/>
      <c r="B8" s="14">
        <v>46204.0</v>
      </c>
      <c r="C8" s="7">
        <v>650839.0</v>
      </c>
      <c r="D8" s="7">
        <v>696398.0</v>
      </c>
      <c r="E8" s="8">
        <f t="shared" si="1"/>
        <v>45559</v>
      </c>
      <c r="F8" s="7">
        <v>24470.0</v>
      </c>
      <c r="G8" s="7">
        <v>26916.0</v>
      </c>
      <c r="H8" s="8">
        <f t="shared" si="2"/>
        <v>2446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2"/>
      <c r="B9" s="13">
        <v>46174.0</v>
      </c>
      <c r="C9" s="7">
        <v>689940.0</v>
      </c>
      <c r="D9" s="7">
        <v>738235.0</v>
      </c>
      <c r="E9" s="8">
        <f t="shared" si="1"/>
        <v>48295</v>
      </c>
      <c r="F9" s="7">
        <v>29354.0</v>
      </c>
      <c r="G9" s="7">
        <v>32289.0</v>
      </c>
      <c r="H9" s="8">
        <f t="shared" si="2"/>
        <v>2935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2"/>
      <c r="B10" s="13">
        <v>46143.0</v>
      </c>
      <c r="C10" s="7">
        <v>725817.0</v>
      </c>
      <c r="D10" s="7">
        <v>776625.0</v>
      </c>
      <c r="E10" s="8">
        <f t="shared" si="1"/>
        <v>50808</v>
      </c>
      <c r="F10" s="7">
        <v>33612.0</v>
      </c>
      <c r="G10" s="7">
        <v>36973.0</v>
      </c>
      <c r="H10" s="8">
        <f t="shared" si="2"/>
        <v>3361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2"/>
      <c r="B11" s="13">
        <v>46113.0</v>
      </c>
      <c r="C11" s="7">
        <v>687415.0</v>
      </c>
      <c r="D11" s="7">
        <v>735534.0</v>
      </c>
      <c r="E11" s="8">
        <f t="shared" si="1"/>
        <v>48119</v>
      </c>
      <c r="F11" s="7">
        <v>35702.0</v>
      </c>
      <c r="G11" s="7">
        <v>39272.0</v>
      </c>
      <c r="H11" s="8">
        <f t="shared" si="2"/>
        <v>3570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12"/>
      <c r="B12" s="14">
        <v>46082.0</v>
      </c>
      <c r="C12" s="7">
        <v>672661.0</v>
      </c>
      <c r="D12" s="7">
        <v>719747.0</v>
      </c>
      <c r="E12" s="8">
        <f t="shared" si="1"/>
        <v>47086</v>
      </c>
      <c r="F12" s="7">
        <v>24921.0</v>
      </c>
      <c r="G12" s="7">
        <v>27413.0</v>
      </c>
      <c r="H12" s="8">
        <f t="shared" si="2"/>
        <v>2492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2"/>
      <c r="B13" s="14">
        <v>46054.0</v>
      </c>
      <c r="C13" s="7">
        <v>504334.0</v>
      </c>
      <c r="D13" s="7">
        <v>539638.0</v>
      </c>
      <c r="E13" s="8">
        <f t="shared" si="1"/>
        <v>35304</v>
      </c>
      <c r="F13" s="7">
        <v>12732.0</v>
      </c>
      <c r="G13" s="7">
        <v>14005.0</v>
      </c>
      <c r="H13" s="8">
        <f t="shared" si="2"/>
        <v>1273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2"/>
      <c r="B14" s="14">
        <v>46023.0</v>
      </c>
      <c r="C14" s="7">
        <v>612000.0</v>
      </c>
      <c r="D14" s="7">
        <v>612000.0</v>
      </c>
      <c r="E14" s="7">
        <f t="shared" si="1"/>
        <v>0</v>
      </c>
      <c r="F14" s="7">
        <v>17600.0</v>
      </c>
      <c r="G14" s="7">
        <v>17600.0</v>
      </c>
      <c r="H14" s="7">
        <f t="shared" si="2"/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5"/>
      <c r="B15" s="6">
        <v>45992.0</v>
      </c>
      <c r="C15" s="7">
        <v>641294.0</v>
      </c>
      <c r="D15" s="7">
        <v>641294.0</v>
      </c>
      <c r="E15" s="7">
        <f t="shared" si="1"/>
        <v>0</v>
      </c>
      <c r="F15" s="7">
        <v>26473.0</v>
      </c>
      <c r="G15" s="7">
        <v>26473.0</v>
      </c>
      <c r="H15" s="7">
        <f t="shared" si="2"/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5"/>
      <c r="B16" s="6">
        <v>45962.0</v>
      </c>
      <c r="C16" s="7">
        <v>657639.0</v>
      </c>
      <c r="D16" s="7">
        <v>657639.0</v>
      </c>
      <c r="E16" s="7">
        <f t="shared" si="1"/>
        <v>0</v>
      </c>
      <c r="F16" s="7">
        <v>24903.0</v>
      </c>
      <c r="G16" s="7">
        <v>24903.0</v>
      </c>
      <c r="H16" s="7">
        <f t="shared" si="2"/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5"/>
      <c r="B17" s="6">
        <v>45931.0</v>
      </c>
      <c r="C17" s="7">
        <v>678661.0</v>
      </c>
      <c r="D17" s="7">
        <v>678661.0</v>
      </c>
      <c r="E17" s="7">
        <f t="shared" si="1"/>
        <v>0</v>
      </c>
      <c r="F17" s="7">
        <v>24163.0</v>
      </c>
      <c r="G17" s="7">
        <v>24163.0</v>
      </c>
      <c r="H17" s="7">
        <f t="shared" si="2"/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2"/>
      <c r="B18" s="14">
        <v>45901.0</v>
      </c>
      <c r="C18" s="7">
        <v>583141.0</v>
      </c>
      <c r="D18" s="7">
        <v>583141.0</v>
      </c>
      <c r="E18" s="7">
        <f t="shared" si="1"/>
        <v>0</v>
      </c>
      <c r="F18" s="7">
        <v>21300.0</v>
      </c>
      <c r="G18" s="7">
        <v>21300.0</v>
      </c>
      <c r="H18" s="7">
        <f t="shared" si="2"/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12"/>
      <c r="B19" s="14">
        <v>45870.0</v>
      </c>
      <c r="C19" s="7">
        <v>552317.0</v>
      </c>
      <c r="D19" s="7">
        <v>552317.0</v>
      </c>
      <c r="E19" s="7">
        <f t="shared" si="1"/>
        <v>0</v>
      </c>
      <c r="F19" s="7">
        <v>17758.0</v>
      </c>
      <c r="G19" s="7">
        <v>17758.0</v>
      </c>
      <c r="H19" s="7">
        <f t="shared" si="2"/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12"/>
      <c r="B20" s="14">
        <v>45839.0</v>
      </c>
      <c r="C20" s="7">
        <v>464885.0</v>
      </c>
      <c r="D20" s="7">
        <v>464885.0</v>
      </c>
      <c r="E20" s="7">
        <f t="shared" si="1"/>
        <v>0</v>
      </c>
      <c r="F20" s="7">
        <v>16313.0</v>
      </c>
      <c r="G20" s="7">
        <v>16313.0</v>
      </c>
      <c r="H20" s="7">
        <f t="shared" si="2"/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12"/>
      <c r="B21" s="14">
        <v>45809.0</v>
      </c>
      <c r="C21" s="7">
        <v>492814.0</v>
      </c>
      <c r="D21" s="7">
        <v>492814.0</v>
      </c>
      <c r="E21" s="7">
        <f t="shared" si="1"/>
        <v>0</v>
      </c>
      <c r="F21" s="7">
        <v>19569.0</v>
      </c>
      <c r="G21" s="7">
        <v>19569.0</v>
      </c>
      <c r="H21" s="7">
        <f t="shared" si="2"/>
        <v>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2"/>
      <c r="B22" s="14">
        <v>45778.0</v>
      </c>
      <c r="C22" s="7">
        <v>518441.0</v>
      </c>
      <c r="D22" s="7">
        <v>518441.0</v>
      </c>
      <c r="E22" s="7">
        <f t="shared" si="1"/>
        <v>0</v>
      </c>
      <c r="F22" s="7">
        <v>22408.0</v>
      </c>
      <c r="G22" s="7">
        <v>22408.0</v>
      </c>
      <c r="H22" s="7">
        <f t="shared" si="2"/>
        <v>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2"/>
      <c r="B23" s="14">
        <v>45748.0</v>
      </c>
      <c r="C23" s="7">
        <v>491011.0</v>
      </c>
      <c r="D23" s="7">
        <v>491011.0</v>
      </c>
      <c r="E23" s="7">
        <f t="shared" si="1"/>
        <v>0</v>
      </c>
      <c r="F23" s="7">
        <v>23801.0</v>
      </c>
      <c r="G23" s="7">
        <v>23801.0</v>
      </c>
      <c r="H23" s="7">
        <f t="shared" si="2"/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12"/>
      <c r="B24" s="14">
        <v>45717.0</v>
      </c>
      <c r="C24" s="7">
        <v>480472.0</v>
      </c>
      <c r="D24" s="7">
        <v>480472.0</v>
      </c>
      <c r="E24" s="7">
        <f t="shared" si="1"/>
        <v>0</v>
      </c>
      <c r="F24" s="7">
        <v>16614.0</v>
      </c>
      <c r="G24" s="7">
        <v>16614.0</v>
      </c>
      <c r="H24" s="7">
        <f t="shared" si="2"/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2"/>
      <c r="B25" s="14">
        <v>45689.0</v>
      </c>
      <c r="C25" s="7">
        <v>315209.0</v>
      </c>
      <c r="D25" s="7">
        <v>315209.0</v>
      </c>
      <c r="E25" s="7">
        <f t="shared" si="1"/>
        <v>0</v>
      </c>
      <c r="F25" s="7">
        <v>8488.0</v>
      </c>
      <c r="G25" s="7">
        <v>8488.0</v>
      </c>
      <c r="H25" s="7">
        <f t="shared" si="2"/>
        <v>0</v>
      </c>
      <c r="I25" s="2"/>
      <c r="J25" s="2"/>
      <c r="K25" s="2"/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2"/>
      <c r="B26" s="14">
        <v>45658.0</v>
      </c>
      <c r="C26" s="7">
        <v>330326.0</v>
      </c>
      <c r="D26" s="7">
        <v>330326.0</v>
      </c>
      <c r="E26" s="7">
        <f t="shared" si="1"/>
        <v>0</v>
      </c>
      <c r="F26" s="7">
        <v>9807.0</v>
      </c>
      <c r="G26" s="7">
        <v>9807.0</v>
      </c>
      <c r="H26" s="7">
        <f t="shared" si="2"/>
        <v>0</v>
      </c>
      <c r="I26" s="2"/>
      <c r="J26" s="2"/>
      <c r="K26" s="2"/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idden="1">
      <c r="A27" s="5"/>
      <c r="B27" s="6">
        <v>45627.0</v>
      </c>
      <c r="C27" s="7">
        <v>362393.0</v>
      </c>
      <c r="D27" s="7">
        <v>362393.0</v>
      </c>
      <c r="E27" s="7">
        <f t="shared" si="1"/>
        <v>0</v>
      </c>
      <c r="F27" s="7">
        <v>13745.0</v>
      </c>
      <c r="G27" s="7">
        <v>13745.0</v>
      </c>
      <c r="H27" s="7">
        <f t="shared" si="2"/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idden="1">
      <c r="A28" s="5"/>
      <c r="B28" s="6">
        <v>45597.0</v>
      </c>
      <c r="C28" s="7">
        <v>398791.0</v>
      </c>
      <c r="D28" s="7">
        <v>398791.0</v>
      </c>
      <c r="E28" s="7">
        <f t="shared" si="1"/>
        <v>0</v>
      </c>
      <c r="F28" s="7">
        <v>13841.0</v>
      </c>
      <c r="G28" s="7">
        <v>13841.0</v>
      </c>
      <c r="H28" s="7">
        <f t="shared" si="2"/>
        <v>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idden="1">
      <c r="A29" s="5"/>
      <c r="B29" s="6">
        <v>45566.0</v>
      </c>
      <c r="C29" s="7">
        <v>474767.0</v>
      </c>
      <c r="D29" s="7">
        <v>474767.0</v>
      </c>
      <c r="E29" s="7">
        <f t="shared" si="1"/>
        <v>0</v>
      </c>
      <c r="F29" s="7">
        <v>14359.0</v>
      </c>
      <c r="G29" s="7">
        <v>14359.0</v>
      </c>
      <c r="H29" s="7">
        <f t="shared" si="2"/>
        <v>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idden="1">
      <c r="A30" s="12"/>
      <c r="B30" s="14">
        <v>45536.0</v>
      </c>
      <c r="C30" s="7">
        <v>330247.0</v>
      </c>
      <c r="D30" s="7">
        <v>330247.0</v>
      </c>
      <c r="E30" s="7">
        <f t="shared" si="1"/>
        <v>0</v>
      </c>
      <c r="F30" s="7">
        <v>9612.0</v>
      </c>
      <c r="G30" s="7">
        <v>9612.0</v>
      </c>
      <c r="H30" s="7">
        <f t="shared" si="2"/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idden="1">
      <c r="A31" s="12"/>
      <c r="B31" s="14">
        <v>45505.0</v>
      </c>
      <c r="C31" s="7">
        <v>276880.0</v>
      </c>
      <c r="D31" s="7">
        <v>276880.0</v>
      </c>
      <c r="E31" s="7">
        <f t="shared" si="1"/>
        <v>0</v>
      </c>
      <c r="F31" s="7">
        <v>7624.0</v>
      </c>
      <c r="G31" s="7">
        <v>7624.0</v>
      </c>
      <c r="H31" s="7">
        <f t="shared" si="2"/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idden="1">
      <c r="A32" s="12"/>
      <c r="B32" s="14">
        <v>45474.0</v>
      </c>
      <c r="C32" s="7">
        <v>236489.0</v>
      </c>
      <c r="D32" s="7">
        <v>236489.0</v>
      </c>
      <c r="E32" s="7">
        <f t="shared" si="1"/>
        <v>0</v>
      </c>
      <c r="F32" s="7">
        <v>5959.0</v>
      </c>
      <c r="G32" s="7">
        <v>5959.0</v>
      </c>
      <c r="H32" s="7">
        <f t="shared" si="2"/>
        <v>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idden="1">
      <c r="A33" s="12"/>
      <c r="B33" s="14">
        <v>45444.0</v>
      </c>
      <c r="C33" s="7">
        <v>227916.0</v>
      </c>
      <c r="D33" s="7">
        <v>227916.0</v>
      </c>
      <c r="E33" s="7">
        <f t="shared" si="1"/>
        <v>0</v>
      </c>
      <c r="F33" s="7">
        <v>7714.0</v>
      </c>
      <c r="G33" s="7">
        <v>7714.0</v>
      </c>
      <c r="H33" s="7">
        <f t="shared" si="2"/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idden="1">
      <c r="A34" s="12"/>
      <c r="B34" s="14">
        <v>45413.0</v>
      </c>
      <c r="C34" s="7">
        <v>237593.0</v>
      </c>
      <c r="D34" s="7">
        <v>237593.0</v>
      </c>
      <c r="E34" s="7">
        <f t="shared" si="1"/>
        <v>0</v>
      </c>
      <c r="F34" s="7">
        <v>8405.0</v>
      </c>
      <c r="G34" s="7">
        <v>8405.0</v>
      </c>
      <c r="H34" s="7">
        <f t="shared" si="2"/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idden="1">
      <c r="A35" s="12"/>
      <c r="B35" s="14">
        <v>45383.0</v>
      </c>
      <c r="C35" s="7">
        <v>235199.0</v>
      </c>
      <c r="D35" s="7">
        <v>235199.0</v>
      </c>
      <c r="E35" s="7">
        <f t="shared" si="1"/>
        <v>0</v>
      </c>
      <c r="F35" s="7">
        <v>8483.0</v>
      </c>
      <c r="G35" s="7">
        <v>8483.0</v>
      </c>
      <c r="H35" s="7">
        <f t="shared" si="2"/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idden="1">
      <c r="A36" s="12"/>
      <c r="B36" s="14">
        <v>45352.0</v>
      </c>
      <c r="C36" s="7">
        <v>208162.0</v>
      </c>
      <c r="D36" s="7">
        <v>208162.0</v>
      </c>
      <c r="E36" s="7">
        <f t="shared" si="1"/>
        <v>0</v>
      </c>
      <c r="F36" s="7">
        <v>6038.0</v>
      </c>
      <c r="G36" s="7">
        <v>6038.0</v>
      </c>
      <c r="H36" s="7">
        <f t="shared" si="2"/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idden="1">
      <c r="A37" s="12"/>
      <c r="B37" s="14">
        <v>45323.0</v>
      </c>
      <c r="C37" s="7">
        <v>129459.0</v>
      </c>
      <c r="D37" s="7">
        <v>129459.0</v>
      </c>
      <c r="E37" s="7">
        <f t="shared" si="1"/>
        <v>0</v>
      </c>
      <c r="F37" s="7">
        <v>2966.0</v>
      </c>
      <c r="G37" s="7">
        <v>2966.0</v>
      </c>
      <c r="H37" s="7">
        <f t="shared" si="2"/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idden="1">
      <c r="A38" s="12"/>
      <c r="B38" s="14">
        <v>45292.0</v>
      </c>
      <c r="C38" s="7">
        <v>109501.0</v>
      </c>
      <c r="D38" s="7">
        <v>109501.0</v>
      </c>
      <c r="E38" s="7">
        <f t="shared" si="1"/>
        <v>0</v>
      </c>
      <c r="F38" s="7">
        <v>2875.0</v>
      </c>
      <c r="G38" s="7">
        <v>2875.0</v>
      </c>
      <c r="H38" s="7">
        <f t="shared" si="2"/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idden="1">
      <c r="A39" s="5"/>
      <c r="B39" s="6">
        <v>45261.0</v>
      </c>
      <c r="C39" s="7">
        <v>127526.0</v>
      </c>
      <c r="D39" s="7">
        <v>127526.0</v>
      </c>
      <c r="E39" s="7">
        <f t="shared" si="1"/>
        <v>0</v>
      </c>
      <c r="F39" s="7">
        <v>5209.0</v>
      </c>
      <c r="G39" s="7">
        <v>5209.0</v>
      </c>
      <c r="H39" s="7">
        <f t="shared" si="2"/>
        <v>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idden="1">
      <c r="A40" s="5"/>
      <c r="B40" s="6">
        <v>45231.0</v>
      </c>
      <c r="C40" s="7">
        <v>134574.0</v>
      </c>
      <c r="D40" s="7">
        <v>134574.0</v>
      </c>
      <c r="E40" s="7">
        <f t="shared" si="1"/>
        <v>0</v>
      </c>
      <c r="F40" s="7">
        <v>4936.0</v>
      </c>
      <c r="G40" s="7">
        <v>4936.0</v>
      </c>
      <c r="H40" s="7">
        <f t="shared" si="2"/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idden="1">
      <c r="A41" s="5"/>
      <c r="B41" s="6">
        <v>45200.0</v>
      </c>
      <c r="C41" s="7">
        <v>126768.0</v>
      </c>
      <c r="D41" s="7">
        <v>126768.0</v>
      </c>
      <c r="E41" s="7">
        <f t="shared" si="1"/>
        <v>0</v>
      </c>
      <c r="F41" s="7">
        <v>5187.0</v>
      </c>
      <c r="G41" s="7">
        <v>5187.0</v>
      </c>
      <c r="H41" s="7">
        <f t="shared" si="2"/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idden="1">
      <c r="A42" s="12"/>
      <c r="B42" s="14">
        <v>45170.0</v>
      </c>
      <c r="C42" s="7">
        <v>99949.0</v>
      </c>
      <c r="D42" s="7">
        <v>99949.0</v>
      </c>
      <c r="E42" s="7">
        <f t="shared" si="1"/>
        <v>0</v>
      </c>
      <c r="F42" s="7">
        <v>3976.0</v>
      </c>
      <c r="G42" s="7">
        <v>3976.0</v>
      </c>
      <c r="H42" s="7">
        <f t="shared" si="2"/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idden="1">
      <c r="A43" s="12"/>
      <c r="B43" s="14">
        <v>45139.0</v>
      </c>
      <c r="C43" s="7">
        <v>61533.0</v>
      </c>
      <c r="D43" s="7">
        <v>61533.0</v>
      </c>
      <c r="E43" s="7">
        <f t="shared" si="1"/>
        <v>0</v>
      </c>
      <c r="F43" s="7">
        <v>2294.0</v>
      </c>
      <c r="G43" s="7">
        <v>2294.0</v>
      </c>
      <c r="H43" s="7">
        <f t="shared" si="2"/>
        <v>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idden="1">
      <c r="A44" s="12"/>
      <c r="B44" s="14">
        <v>45108.0</v>
      </c>
      <c r="C44" s="7">
        <v>48657.0</v>
      </c>
      <c r="D44" s="7">
        <v>48657.0</v>
      </c>
      <c r="E44" s="7">
        <f t="shared" si="1"/>
        <v>0</v>
      </c>
      <c r="F44" s="7">
        <v>2076.0</v>
      </c>
      <c r="G44" s="7">
        <v>2076.0</v>
      </c>
      <c r="H44" s="7">
        <f t="shared" si="2"/>
        <v>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idden="1">
      <c r="A45" s="12"/>
      <c r="B45" s="14">
        <v>45078.0</v>
      </c>
      <c r="C45" s="7">
        <v>54994.0</v>
      </c>
      <c r="D45" s="7">
        <v>54994.0</v>
      </c>
      <c r="E45" s="7">
        <f t="shared" si="1"/>
        <v>0</v>
      </c>
      <c r="F45" s="7">
        <v>2434.0</v>
      </c>
      <c r="G45" s="7">
        <v>2434.0</v>
      </c>
      <c r="H45" s="7">
        <f t="shared" si="2"/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idden="1">
      <c r="A46" s="12"/>
      <c r="B46" s="14">
        <v>45047.0</v>
      </c>
      <c r="C46" s="7">
        <v>87128.0</v>
      </c>
      <c r="D46" s="7">
        <v>87128.0</v>
      </c>
      <c r="E46" s="7">
        <f t="shared" si="1"/>
        <v>0</v>
      </c>
      <c r="F46" s="7">
        <v>2963.0</v>
      </c>
      <c r="G46" s="7">
        <v>2963.0</v>
      </c>
      <c r="H46" s="7">
        <f t="shared" si="2"/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idden="1">
      <c r="A47" s="12"/>
      <c r="B47" s="14">
        <v>45017.0</v>
      </c>
      <c r="C47" s="7">
        <v>30720.0</v>
      </c>
      <c r="D47" s="7">
        <v>30720.0</v>
      </c>
      <c r="E47" s="7">
        <f t="shared" si="1"/>
        <v>0</v>
      </c>
      <c r="F47" s="7">
        <v>2015.0</v>
      </c>
      <c r="G47" s="7">
        <v>2015.0</v>
      </c>
      <c r="H47" s="7">
        <f t="shared" si="2"/>
        <v>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idden="1">
      <c r="A48" s="12"/>
      <c r="B48" s="14">
        <v>44986.0</v>
      </c>
      <c r="C48" s="7">
        <v>22171.0</v>
      </c>
      <c r="D48" s="7">
        <v>22171.0</v>
      </c>
      <c r="E48" s="7">
        <f t="shared" si="1"/>
        <v>0</v>
      </c>
      <c r="F48" s="7">
        <v>1020.0</v>
      </c>
      <c r="G48" s="7">
        <v>1020.0</v>
      </c>
      <c r="H48" s="7">
        <f t="shared" si="2"/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idden="1">
      <c r="A49" s="12"/>
      <c r="B49" s="14">
        <v>44958.0</v>
      </c>
      <c r="C49" s="7">
        <v>13860.0</v>
      </c>
      <c r="D49" s="7">
        <v>13860.0</v>
      </c>
      <c r="E49" s="7">
        <f t="shared" si="1"/>
        <v>0</v>
      </c>
      <c r="F49" s="15">
        <v>540.0</v>
      </c>
      <c r="G49" s="15">
        <v>540.0</v>
      </c>
      <c r="H49" s="7">
        <f t="shared" si="2"/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idden="1">
      <c r="A50" s="12"/>
      <c r="B50" s="14">
        <v>44927.0</v>
      </c>
      <c r="C50" s="7">
        <v>11953.0</v>
      </c>
      <c r="D50" s="7">
        <v>11953.0</v>
      </c>
      <c r="E50" s="7">
        <f t="shared" si="1"/>
        <v>0</v>
      </c>
      <c r="F50" s="15">
        <v>578.0</v>
      </c>
      <c r="G50" s="15">
        <v>578.0</v>
      </c>
      <c r="H50" s="7">
        <f t="shared" si="2"/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idden="1">
      <c r="A51" s="5"/>
      <c r="B51" s="6">
        <v>44896.0</v>
      </c>
      <c r="C51" s="7">
        <v>13868.0</v>
      </c>
      <c r="D51" s="7">
        <v>13868.0</v>
      </c>
      <c r="E51" s="7">
        <f t="shared" si="1"/>
        <v>0</v>
      </c>
      <c r="F51" s="15">
        <v>673.0</v>
      </c>
      <c r="G51" s="15">
        <v>673.0</v>
      </c>
      <c r="H51" s="7">
        <f t="shared" si="2"/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idden="1">
      <c r="A52" s="5"/>
      <c r="B52" s="6">
        <v>44866.0</v>
      </c>
      <c r="C52" s="7">
        <v>9092.0</v>
      </c>
      <c r="D52" s="7">
        <v>9092.0</v>
      </c>
      <c r="E52" s="7">
        <f t="shared" si="1"/>
        <v>0</v>
      </c>
      <c r="F52" s="15">
        <v>302.0</v>
      </c>
      <c r="G52" s="15">
        <v>302.0</v>
      </c>
      <c r="H52" s="7">
        <f t="shared" si="2"/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2.38"/>
    <col customWidth="1" min="6" max="6" width="57.0"/>
  </cols>
  <sheetData>
    <row r="1">
      <c r="A1" s="16" t="s">
        <v>10</v>
      </c>
      <c r="B1" s="16" t="s">
        <v>11</v>
      </c>
      <c r="C1" s="17" t="s">
        <v>12</v>
      </c>
      <c r="D1" s="16" t="s">
        <v>13</v>
      </c>
      <c r="E1" s="18" t="s">
        <v>14</v>
      </c>
      <c r="F1" s="19" t="s">
        <v>15</v>
      </c>
      <c r="G1" s="19" t="s">
        <v>16</v>
      </c>
      <c r="H1" s="19" t="s">
        <v>17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1"/>
      <c r="B2" s="22" t="s">
        <v>18</v>
      </c>
      <c r="C2" s="23" t="s">
        <v>19</v>
      </c>
      <c r="D2" s="24" t="s">
        <v>20</v>
      </c>
      <c r="E2" s="25" t="s">
        <v>21</v>
      </c>
      <c r="F2" s="21"/>
      <c r="G2" s="21"/>
      <c r="H2" s="21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1"/>
      <c r="B3" s="22" t="s">
        <v>22</v>
      </c>
      <c r="C3" s="23" t="s">
        <v>19</v>
      </c>
      <c r="D3" s="24" t="s">
        <v>23</v>
      </c>
      <c r="E3" s="25" t="s">
        <v>21</v>
      </c>
      <c r="F3" s="21" t="s">
        <v>24</v>
      </c>
      <c r="G3" s="21"/>
      <c r="H3" s="21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1"/>
      <c r="B4" s="22" t="s">
        <v>22</v>
      </c>
      <c r="C4" s="23" t="s">
        <v>19</v>
      </c>
      <c r="D4" s="24" t="s">
        <v>25</v>
      </c>
      <c r="E4" s="25" t="s">
        <v>21</v>
      </c>
      <c r="F4" s="21" t="s">
        <v>26</v>
      </c>
      <c r="G4" s="21"/>
      <c r="H4" s="21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4"/>
      <c r="B5" s="22" t="s">
        <v>22</v>
      </c>
      <c r="C5" s="23" t="s">
        <v>19</v>
      </c>
      <c r="D5" s="24" t="s">
        <v>27</v>
      </c>
      <c r="E5" s="25" t="s">
        <v>21</v>
      </c>
      <c r="F5" s="24"/>
      <c r="G5" s="24"/>
      <c r="H5" s="24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4"/>
      <c r="B6" s="22" t="s">
        <v>22</v>
      </c>
      <c r="C6" s="23" t="s">
        <v>19</v>
      </c>
      <c r="D6" s="24" t="s">
        <v>28</v>
      </c>
      <c r="E6" s="25" t="s">
        <v>21</v>
      </c>
      <c r="F6" s="24"/>
      <c r="G6" s="24"/>
      <c r="H6" s="24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4"/>
      <c r="B7" s="22" t="s">
        <v>22</v>
      </c>
      <c r="C7" s="23" t="s">
        <v>19</v>
      </c>
      <c r="D7" s="24" t="s">
        <v>29</v>
      </c>
      <c r="E7" s="25" t="s">
        <v>21</v>
      </c>
      <c r="F7" s="24"/>
      <c r="G7" s="24"/>
      <c r="H7" s="24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24"/>
      <c r="B8" s="22" t="s">
        <v>30</v>
      </c>
      <c r="C8" s="23" t="s">
        <v>19</v>
      </c>
      <c r="D8" s="24" t="s">
        <v>31</v>
      </c>
      <c r="E8" s="25" t="s">
        <v>21</v>
      </c>
      <c r="F8" s="24" t="s">
        <v>32</v>
      </c>
      <c r="G8" s="24"/>
      <c r="H8" s="24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4"/>
      <c r="B9" s="22" t="s">
        <v>30</v>
      </c>
      <c r="C9" s="23" t="s">
        <v>19</v>
      </c>
      <c r="D9" s="26" t="s">
        <v>33</v>
      </c>
      <c r="E9" s="25" t="s">
        <v>21</v>
      </c>
      <c r="F9" s="24" t="s">
        <v>34</v>
      </c>
      <c r="G9" s="24"/>
      <c r="H9" s="24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24"/>
      <c r="B10" s="22" t="s">
        <v>30</v>
      </c>
      <c r="C10" s="23" t="s">
        <v>19</v>
      </c>
      <c r="D10" s="24" t="s">
        <v>35</v>
      </c>
      <c r="E10" s="25" t="s">
        <v>36</v>
      </c>
      <c r="F10" s="24"/>
      <c r="G10" s="24"/>
      <c r="H10" s="24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24"/>
      <c r="B11" s="22" t="s">
        <v>30</v>
      </c>
      <c r="C11" s="23" t="s">
        <v>37</v>
      </c>
      <c r="D11" s="24" t="s">
        <v>38</v>
      </c>
      <c r="E11" s="25" t="s">
        <v>36</v>
      </c>
      <c r="F11" s="24" t="s">
        <v>39</v>
      </c>
      <c r="G11" s="24"/>
      <c r="H11" s="24"/>
      <c r="I11" s="20"/>
      <c r="J11" s="20" t="s">
        <v>40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4"/>
      <c r="B12" s="22" t="s">
        <v>41</v>
      </c>
      <c r="C12" s="23" t="s">
        <v>19</v>
      </c>
      <c r="D12" s="24" t="s">
        <v>42</v>
      </c>
      <c r="E12" s="25" t="s">
        <v>36</v>
      </c>
      <c r="F12" s="24"/>
      <c r="G12" s="24"/>
      <c r="H12" s="24"/>
      <c r="I12" s="20"/>
      <c r="J12" s="20" t="s">
        <v>43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21"/>
      <c r="B13" s="22" t="s">
        <v>41</v>
      </c>
      <c r="C13" s="23" t="s">
        <v>19</v>
      </c>
      <c r="D13" s="24" t="s">
        <v>44</v>
      </c>
      <c r="E13" s="25" t="s">
        <v>36</v>
      </c>
      <c r="F13" s="21" t="s">
        <v>45</v>
      </c>
      <c r="G13" s="21"/>
      <c r="H13" s="21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24"/>
      <c r="B14" s="22" t="s">
        <v>41</v>
      </c>
      <c r="C14" s="23" t="s">
        <v>19</v>
      </c>
      <c r="D14" s="24" t="s">
        <v>46</v>
      </c>
      <c r="E14" s="25" t="s">
        <v>36</v>
      </c>
      <c r="F14" s="24"/>
      <c r="G14" s="24"/>
      <c r="H14" s="24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4"/>
      <c r="B15" s="22" t="s">
        <v>41</v>
      </c>
      <c r="C15" s="23" t="s">
        <v>19</v>
      </c>
      <c r="D15" s="24" t="s">
        <v>47</v>
      </c>
      <c r="E15" s="25" t="s">
        <v>48</v>
      </c>
      <c r="F15" s="24"/>
      <c r="G15" s="24"/>
      <c r="H15" s="24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4"/>
      <c r="B16" s="22" t="s">
        <v>41</v>
      </c>
      <c r="C16" s="23" t="s">
        <v>19</v>
      </c>
      <c r="D16" s="24" t="s">
        <v>49</v>
      </c>
      <c r="E16" s="25" t="s">
        <v>48</v>
      </c>
      <c r="F16" s="24"/>
      <c r="G16" s="24"/>
      <c r="H16" s="24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4"/>
      <c r="B17" s="22" t="s">
        <v>41</v>
      </c>
      <c r="C17" s="23" t="s">
        <v>19</v>
      </c>
      <c r="D17" s="24" t="s">
        <v>50</v>
      </c>
      <c r="E17" s="25" t="s">
        <v>48</v>
      </c>
      <c r="F17" s="24"/>
      <c r="G17" s="24"/>
      <c r="H17" s="24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4"/>
      <c r="B18" s="22" t="s">
        <v>41</v>
      </c>
      <c r="C18" s="23" t="s">
        <v>19</v>
      </c>
      <c r="D18" s="24" t="s">
        <v>51</v>
      </c>
      <c r="E18" s="25" t="s">
        <v>48</v>
      </c>
      <c r="F18" s="24"/>
      <c r="G18" s="24"/>
      <c r="H18" s="24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4"/>
      <c r="B19" s="22" t="s">
        <v>41</v>
      </c>
      <c r="C19" s="23" t="s">
        <v>19</v>
      </c>
      <c r="D19" s="26" t="s">
        <v>52</v>
      </c>
      <c r="E19" s="25" t="s">
        <v>48</v>
      </c>
      <c r="F19" s="24"/>
      <c r="G19" s="24"/>
      <c r="H19" s="24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21"/>
      <c r="B20" s="22" t="s">
        <v>41</v>
      </c>
      <c r="C20" s="23" t="s">
        <v>53</v>
      </c>
      <c r="D20" s="24" t="s">
        <v>54</v>
      </c>
      <c r="E20" s="25" t="s">
        <v>48</v>
      </c>
      <c r="F20" s="21"/>
      <c r="G20" s="21"/>
      <c r="H20" s="21"/>
      <c r="I20" s="20"/>
      <c r="J20" s="20" t="s">
        <v>55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1"/>
      <c r="B21" s="22" t="s">
        <v>41</v>
      </c>
      <c r="C21" s="23" t="s">
        <v>53</v>
      </c>
      <c r="D21" s="24" t="s">
        <v>56</v>
      </c>
      <c r="E21" s="25" t="s">
        <v>36</v>
      </c>
      <c r="F21" s="21"/>
      <c r="G21" s="21"/>
      <c r="H21" s="21"/>
      <c r="I21" s="20"/>
      <c r="J21" s="20" t="s">
        <v>57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24"/>
      <c r="B22" s="22" t="s">
        <v>41</v>
      </c>
      <c r="C22" s="23" t="s">
        <v>53</v>
      </c>
      <c r="D22" s="24" t="s">
        <v>58</v>
      </c>
      <c r="E22" s="25" t="s">
        <v>48</v>
      </c>
      <c r="F22" s="26" t="s">
        <v>59</v>
      </c>
      <c r="G22" s="24"/>
      <c r="H22" s="24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4"/>
      <c r="B23" s="22" t="s">
        <v>41</v>
      </c>
      <c r="C23" s="23" t="s">
        <v>53</v>
      </c>
      <c r="D23" s="24" t="s">
        <v>60</v>
      </c>
      <c r="E23" s="25" t="s">
        <v>48</v>
      </c>
      <c r="F23" s="26" t="s">
        <v>61</v>
      </c>
      <c r="G23" s="24"/>
      <c r="H23" s="24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4"/>
      <c r="B24" s="22" t="s">
        <v>41</v>
      </c>
      <c r="C24" s="23" t="s">
        <v>53</v>
      </c>
      <c r="D24" s="26" t="s">
        <v>62</v>
      </c>
      <c r="E24" s="25" t="s">
        <v>48</v>
      </c>
      <c r="F24" s="24"/>
      <c r="G24" s="24"/>
      <c r="H24" s="24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4"/>
      <c r="B25" s="22" t="s">
        <v>41</v>
      </c>
      <c r="C25" s="23" t="s">
        <v>53</v>
      </c>
      <c r="D25" s="26" t="s">
        <v>63</v>
      </c>
      <c r="E25" s="25" t="s">
        <v>48</v>
      </c>
      <c r="F25" s="24"/>
      <c r="G25" s="24"/>
      <c r="H25" s="24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20"/>
      <c r="B26" s="20"/>
      <c r="C26" s="27"/>
      <c r="D26" s="20"/>
      <c r="E26" s="28"/>
      <c r="F26" s="2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0"/>
      <c r="B27" s="20"/>
      <c r="C27" s="27"/>
      <c r="D27" s="20" t="s">
        <v>64</v>
      </c>
      <c r="E27" s="28"/>
      <c r="F27" s="28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20"/>
      <c r="B28" s="20"/>
      <c r="C28" s="27"/>
      <c r="D28" s="27" t="s">
        <v>65</v>
      </c>
      <c r="E28" s="28" t="s">
        <v>66</v>
      </c>
      <c r="F28" s="28" t="s">
        <v>67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20"/>
      <c r="B29" s="20"/>
      <c r="C29" s="27"/>
      <c r="D29" s="20" t="s">
        <v>68</v>
      </c>
      <c r="E29" s="28" t="s">
        <v>69</v>
      </c>
      <c r="F29" s="28" t="s">
        <v>48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20"/>
      <c r="B30" s="20"/>
      <c r="C30" s="27"/>
      <c r="D30" s="20" t="s">
        <v>70</v>
      </c>
      <c r="E30" s="28" t="s">
        <v>71</v>
      </c>
      <c r="F30" s="28" t="s">
        <v>21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20"/>
      <c r="B31" s="20"/>
      <c r="C31" s="27"/>
      <c r="D31" s="20" t="s">
        <v>72</v>
      </c>
      <c r="E31" s="28" t="s">
        <v>73</v>
      </c>
      <c r="F31" s="28" t="s">
        <v>36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20"/>
      <c r="B32" s="20"/>
      <c r="C32" s="27"/>
      <c r="D32" s="20" t="s">
        <v>74</v>
      </c>
      <c r="E32" s="28" t="s">
        <v>75</v>
      </c>
      <c r="F32" s="28" t="s">
        <v>76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0"/>
      <c r="B33" s="20"/>
      <c r="C33" s="27"/>
      <c r="D33" s="20"/>
      <c r="E33" s="2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0"/>
      <c r="B34" s="20"/>
      <c r="C34" s="27"/>
      <c r="D34" s="20"/>
      <c r="E34" s="2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0"/>
      <c r="B35" s="20"/>
      <c r="C35" s="27"/>
      <c r="D35" s="20"/>
      <c r="E35" s="2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0"/>
      <c r="B36" s="20"/>
      <c r="C36" s="27"/>
      <c r="D36" s="20"/>
      <c r="E36" s="2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0"/>
      <c r="B37" s="20"/>
      <c r="C37" s="27"/>
      <c r="D37" s="20"/>
      <c r="E37" s="2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0"/>
      <c r="B38" s="20"/>
      <c r="C38" s="27"/>
      <c r="D38" s="20"/>
      <c r="E38" s="2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20"/>
      <c r="B39" s="20"/>
      <c r="C39" s="27"/>
      <c r="D39" s="20"/>
      <c r="E39" s="2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0"/>
      <c r="B40" s="20"/>
      <c r="C40" s="27"/>
      <c r="D40" s="20"/>
      <c r="E40" s="2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20"/>
      <c r="B41" s="20"/>
      <c r="C41" s="27"/>
      <c r="D41" s="20"/>
      <c r="E41" s="2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20"/>
      <c r="B42" s="20"/>
      <c r="C42" s="27"/>
      <c r="D42" s="20"/>
      <c r="E42" s="2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20"/>
      <c r="B43" s="20"/>
      <c r="C43" s="27"/>
      <c r="D43" s="20"/>
      <c r="E43" s="2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0"/>
      <c r="B44" s="20"/>
      <c r="C44" s="27"/>
      <c r="D44" s="20"/>
      <c r="E44" s="2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0"/>
      <c r="B45" s="20"/>
      <c r="C45" s="27"/>
      <c r="D45" s="20"/>
      <c r="E45" s="2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0"/>
      <c r="B46" s="20"/>
      <c r="C46" s="27"/>
      <c r="D46" s="20"/>
      <c r="E46" s="2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0"/>
      <c r="B47" s="20"/>
      <c r="C47" s="27"/>
      <c r="D47" s="20"/>
      <c r="E47" s="2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20"/>
      <c r="B48" s="20"/>
      <c r="C48" s="27"/>
      <c r="D48" s="20"/>
      <c r="E48" s="2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0"/>
      <c r="B49" s="20"/>
      <c r="C49" s="27"/>
      <c r="D49" s="20"/>
      <c r="E49" s="2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20"/>
      <c r="B50" s="20"/>
      <c r="C50" s="27"/>
      <c r="D50" s="20"/>
      <c r="E50" s="2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20"/>
      <c r="C51" s="27"/>
      <c r="D51" s="20"/>
      <c r="E51" s="2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20"/>
      <c r="C52" s="27"/>
      <c r="D52" s="20"/>
      <c r="E52" s="2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20"/>
      <c r="B53" s="20"/>
      <c r="C53" s="27"/>
      <c r="D53" s="20"/>
      <c r="E53" s="2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20"/>
      <c r="B54" s="20"/>
      <c r="C54" s="27"/>
      <c r="D54" s="20"/>
      <c r="E54" s="2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20"/>
      <c r="B55" s="20"/>
      <c r="C55" s="27"/>
      <c r="D55" s="20"/>
      <c r="E55" s="2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20"/>
      <c r="B56" s="20"/>
      <c r="C56" s="27"/>
      <c r="D56" s="20"/>
      <c r="E56" s="2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0"/>
      <c r="B57" s="20"/>
      <c r="C57" s="27"/>
      <c r="D57" s="20"/>
      <c r="E57" s="2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0"/>
      <c r="B58" s="20"/>
      <c r="C58" s="27"/>
      <c r="D58" s="20"/>
      <c r="E58" s="2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0"/>
      <c r="B59" s="20"/>
      <c r="C59" s="27"/>
      <c r="D59" s="20"/>
      <c r="E59" s="2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0"/>
      <c r="B60" s="20"/>
      <c r="C60" s="27"/>
      <c r="D60" s="20"/>
      <c r="E60" s="2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0"/>
      <c r="B61" s="20"/>
      <c r="C61" s="27"/>
      <c r="D61" s="20"/>
      <c r="E61" s="2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20"/>
      <c r="B62" s="20"/>
      <c r="C62" s="27"/>
      <c r="D62" s="20"/>
      <c r="E62" s="2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0"/>
      <c r="B63" s="20"/>
      <c r="C63" s="27"/>
      <c r="D63" s="20"/>
      <c r="E63" s="2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0"/>
      <c r="B64" s="20"/>
      <c r="C64" s="27"/>
      <c r="D64" s="20"/>
      <c r="E64" s="2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0"/>
      <c r="B65" s="20"/>
      <c r="C65" s="27"/>
      <c r="D65" s="20"/>
      <c r="E65" s="2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0"/>
      <c r="B66" s="20"/>
      <c r="C66" s="27"/>
      <c r="D66" s="20"/>
      <c r="E66" s="2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0"/>
      <c r="B67" s="20"/>
      <c r="C67" s="27"/>
      <c r="D67" s="20"/>
      <c r="E67" s="2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0"/>
      <c r="B68" s="20"/>
      <c r="C68" s="27"/>
      <c r="D68" s="20"/>
      <c r="E68" s="2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0"/>
      <c r="B69" s="20"/>
      <c r="C69" s="27"/>
      <c r="D69" s="20"/>
      <c r="E69" s="2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0"/>
      <c r="B70" s="20"/>
      <c r="C70" s="27"/>
      <c r="D70" s="20"/>
      <c r="E70" s="2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0"/>
      <c r="B71" s="20"/>
      <c r="C71" s="27"/>
      <c r="D71" s="20"/>
      <c r="E71" s="2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20"/>
      <c r="B72" s="20"/>
      <c r="C72" s="27"/>
      <c r="D72" s="20"/>
      <c r="E72" s="2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0"/>
      <c r="B73" s="20"/>
      <c r="C73" s="27"/>
      <c r="D73" s="20"/>
      <c r="E73" s="2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0"/>
      <c r="B74" s="20"/>
      <c r="C74" s="27"/>
      <c r="D74" s="20"/>
      <c r="E74" s="2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20"/>
      <c r="B75" s="20"/>
      <c r="C75" s="27"/>
      <c r="D75" s="20"/>
      <c r="E75" s="2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20"/>
      <c r="C76" s="27"/>
      <c r="D76" s="20"/>
      <c r="E76" s="28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20"/>
      <c r="B77" s="20"/>
      <c r="C77" s="27"/>
      <c r="D77" s="20"/>
      <c r="E77" s="2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20"/>
      <c r="B78" s="20"/>
      <c r="C78" s="27"/>
      <c r="D78" s="20"/>
      <c r="E78" s="2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20"/>
      <c r="B79" s="20"/>
      <c r="C79" s="27"/>
      <c r="D79" s="20"/>
      <c r="E79" s="2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20"/>
      <c r="C80" s="27"/>
      <c r="D80" s="20"/>
      <c r="E80" s="28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20"/>
      <c r="C81" s="27"/>
      <c r="D81" s="20"/>
      <c r="E81" s="2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0"/>
      <c r="B82" s="20"/>
      <c r="C82" s="27"/>
      <c r="D82" s="20"/>
      <c r="E82" s="28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20"/>
      <c r="C83" s="27"/>
      <c r="D83" s="20"/>
      <c r="E83" s="28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20"/>
      <c r="C84" s="27"/>
      <c r="D84" s="20"/>
      <c r="E84" s="28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20"/>
      <c r="C85" s="27"/>
      <c r="D85" s="20"/>
      <c r="E85" s="28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20"/>
      <c r="C86" s="27"/>
      <c r="D86" s="20"/>
      <c r="E86" s="2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20"/>
      <c r="C87" s="27"/>
      <c r="D87" s="20"/>
      <c r="E87" s="2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20"/>
      <c r="C88" s="27"/>
      <c r="D88" s="20"/>
      <c r="E88" s="2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0"/>
      <c r="B89" s="20"/>
      <c r="C89" s="27"/>
      <c r="D89" s="20"/>
      <c r="E89" s="2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20"/>
      <c r="C90" s="27"/>
      <c r="D90" s="20"/>
      <c r="E90" s="2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20"/>
      <c r="C91" s="27"/>
      <c r="D91" s="20"/>
      <c r="E91" s="2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20"/>
      <c r="C92" s="27"/>
      <c r="D92" s="20"/>
      <c r="E92" s="2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20"/>
      <c r="C93" s="27"/>
      <c r="D93" s="20"/>
      <c r="E93" s="2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20"/>
      <c r="C94" s="27"/>
      <c r="D94" s="20"/>
      <c r="E94" s="2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20"/>
      <c r="C95" s="27"/>
      <c r="D95" s="20"/>
      <c r="E95" s="2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20"/>
      <c r="C96" s="27"/>
      <c r="D96" s="20"/>
      <c r="E96" s="2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20"/>
      <c r="C97" s="27"/>
      <c r="D97" s="20"/>
      <c r="E97" s="2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20"/>
      <c r="B98" s="20"/>
      <c r="C98" s="27"/>
      <c r="D98" s="20"/>
      <c r="E98" s="2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20"/>
      <c r="C99" s="27"/>
      <c r="D99" s="20"/>
      <c r="E99" s="2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20"/>
      <c r="C100" s="27"/>
      <c r="D100" s="20"/>
      <c r="E100" s="2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20"/>
      <c r="C101" s="27"/>
      <c r="D101" s="20"/>
      <c r="E101" s="2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20"/>
      <c r="C102" s="27"/>
      <c r="D102" s="20"/>
      <c r="E102" s="2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0"/>
      <c r="B103" s="20"/>
      <c r="C103" s="27"/>
      <c r="D103" s="20"/>
      <c r="E103" s="2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20"/>
      <c r="C104" s="27"/>
      <c r="D104" s="20"/>
      <c r="E104" s="2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20"/>
      <c r="C105" s="27"/>
      <c r="D105" s="20"/>
      <c r="E105" s="2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20"/>
      <c r="C106" s="27"/>
      <c r="D106" s="20"/>
      <c r="E106" s="2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7"/>
      <c r="D107" s="20"/>
      <c r="E107" s="2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7"/>
      <c r="D108" s="20"/>
      <c r="E108" s="2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7"/>
      <c r="D109" s="20"/>
      <c r="E109" s="2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7"/>
      <c r="D110" s="20"/>
      <c r="E110" s="2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7"/>
      <c r="D111" s="20"/>
      <c r="E111" s="2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7"/>
      <c r="D112" s="20"/>
      <c r="E112" s="2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7"/>
      <c r="D113" s="20"/>
      <c r="E113" s="2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7"/>
      <c r="D114" s="20"/>
      <c r="E114" s="2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7"/>
      <c r="D115" s="20"/>
      <c r="E115" s="2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7"/>
      <c r="D116" s="20"/>
      <c r="E116" s="2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7"/>
      <c r="D117" s="20"/>
      <c r="E117" s="2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7"/>
      <c r="D118" s="20"/>
      <c r="E118" s="2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7"/>
      <c r="D119" s="20"/>
      <c r="E119" s="2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7"/>
      <c r="D120" s="20"/>
      <c r="E120" s="2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7"/>
      <c r="D121" s="20"/>
      <c r="E121" s="2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7"/>
      <c r="D122" s="20"/>
      <c r="E122" s="2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7"/>
      <c r="D123" s="20"/>
      <c r="E123" s="2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7"/>
      <c r="D124" s="20"/>
      <c r="E124" s="2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7"/>
      <c r="D125" s="20"/>
      <c r="E125" s="2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7"/>
      <c r="D126" s="20"/>
      <c r="E126" s="2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7"/>
      <c r="D127" s="20"/>
      <c r="E127" s="2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7"/>
      <c r="D128" s="20"/>
      <c r="E128" s="2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7"/>
      <c r="D129" s="20"/>
      <c r="E129" s="2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7"/>
      <c r="D130" s="20"/>
      <c r="E130" s="2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7"/>
      <c r="D131" s="20"/>
      <c r="E131" s="2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7"/>
      <c r="D132" s="20"/>
      <c r="E132" s="2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7"/>
      <c r="D133" s="20"/>
      <c r="E133" s="2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7"/>
      <c r="D134" s="20"/>
      <c r="E134" s="2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7"/>
      <c r="D135" s="20"/>
      <c r="E135" s="2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20"/>
      <c r="C136" s="27"/>
      <c r="D136" s="20"/>
      <c r="E136" s="2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20"/>
      <c r="C137" s="27"/>
      <c r="D137" s="20"/>
      <c r="E137" s="2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7"/>
      <c r="D138" s="20"/>
      <c r="E138" s="2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7"/>
      <c r="D139" s="20"/>
      <c r="E139" s="2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7"/>
      <c r="D140" s="20"/>
      <c r="E140" s="2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7"/>
      <c r="D141" s="20"/>
      <c r="E141" s="2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7"/>
      <c r="D142" s="20"/>
      <c r="E142" s="2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7"/>
      <c r="D143" s="20"/>
      <c r="E143" s="2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7"/>
      <c r="D144" s="20"/>
      <c r="E144" s="2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7"/>
      <c r="D145" s="20"/>
      <c r="E145" s="2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7"/>
      <c r="D146" s="20"/>
      <c r="E146" s="2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7"/>
      <c r="D147" s="20"/>
      <c r="E147" s="2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20"/>
      <c r="C148" s="27"/>
      <c r="D148" s="20"/>
      <c r="E148" s="2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7"/>
      <c r="D149" s="20"/>
      <c r="E149" s="2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7"/>
      <c r="D150" s="20"/>
      <c r="E150" s="2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7"/>
      <c r="D151" s="20"/>
      <c r="E151" s="2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7"/>
      <c r="D152" s="20"/>
      <c r="E152" s="2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7"/>
      <c r="D153" s="20"/>
      <c r="E153" s="2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20"/>
      <c r="C154" s="27"/>
      <c r="D154" s="20"/>
      <c r="E154" s="2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7"/>
      <c r="D155" s="20"/>
      <c r="E155" s="2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20"/>
      <c r="C156" s="27"/>
      <c r="D156" s="20"/>
      <c r="E156" s="2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7"/>
      <c r="D157" s="20"/>
      <c r="E157" s="2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7"/>
      <c r="D158" s="20"/>
      <c r="E158" s="2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7"/>
      <c r="D159" s="20"/>
      <c r="E159" s="2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20"/>
      <c r="C160" s="27"/>
      <c r="D160" s="20"/>
      <c r="E160" s="2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7"/>
      <c r="D161" s="20"/>
      <c r="E161" s="2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7"/>
      <c r="D162" s="20"/>
      <c r="E162" s="2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7"/>
      <c r="D163" s="20"/>
      <c r="E163" s="2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7"/>
      <c r="D164" s="20"/>
      <c r="E164" s="2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7"/>
      <c r="D165" s="20"/>
      <c r="E165" s="2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7"/>
      <c r="D166" s="20"/>
      <c r="E166" s="2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7"/>
      <c r="D167" s="20"/>
      <c r="E167" s="2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7"/>
      <c r="D168" s="20"/>
      <c r="E168" s="2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7"/>
      <c r="D169" s="20"/>
      <c r="E169" s="2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7"/>
      <c r="D170" s="20"/>
      <c r="E170" s="2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7"/>
      <c r="D171" s="20"/>
      <c r="E171" s="2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7"/>
      <c r="D172" s="20"/>
      <c r="E172" s="2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7"/>
      <c r="D173" s="20"/>
      <c r="E173" s="2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7"/>
      <c r="D174" s="20"/>
      <c r="E174" s="2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7"/>
      <c r="D175" s="20"/>
      <c r="E175" s="2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7"/>
      <c r="D176" s="20"/>
      <c r="E176" s="2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7"/>
      <c r="D177" s="20"/>
      <c r="E177" s="2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7"/>
      <c r="D178" s="20"/>
      <c r="E178" s="2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7"/>
      <c r="D179" s="20"/>
      <c r="E179" s="2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7"/>
      <c r="D180" s="20"/>
      <c r="E180" s="2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7"/>
      <c r="D181" s="20"/>
      <c r="E181" s="2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7"/>
      <c r="D182" s="20"/>
      <c r="E182" s="2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7"/>
      <c r="D183" s="20"/>
      <c r="E183" s="2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7"/>
      <c r="D184" s="20"/>
      <c r="E184" s="2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7"/>
      <c r="D185" s="20"/>
      <c r="E185" s="2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7"/>
      <c r="D186" s="20"/>
      <c r="E186" s="2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7"/>
      <c r="D187" s="20"/>
      <c r="E187" s="2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7"/>
      <c r="D188" s="20"/>
      <c r="E188" s="2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7"/>
      <c r="D189" s="20"/>
      <c r="E189" s="2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7"/>
      <c r="D190" s="20"/>
      <c r="E190" s="2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7"/>
      <c r="D191" s="20"/>
      <c r="E191" s="2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7"/>
      <c r="D192" s="20"/>
      <c r="E192" s="2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7"/>
      <c r="D193" s="20"/>
      <c r="E193" s="2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7"/>
      <c r="D194" s="20"/>
      <c r="E194" s="2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7"/>
      <c r="D195" s="20"/>
      <c r="E195" s="2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7"/>
      <c r="D196" s="20"/>
      <c r="E196" s="2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7"/>
      <c r="D197" s="20"/>
      <c r="E197" s="2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7"/>
      <c r="D198" s="20"/>
      <c r="E198" s="2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7"/>
      <c r="D199" s="20"/>
      <c r="E199" s="2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7"/>
      <c r="D200" s="20"/>
      <c r="E200" s="2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7"/>
      <c r="D201" s="20"/>
      <c r="E201" s="2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7"/>
      <c r="D202" s="20"/>
      <c r="E202" s="2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7"/>
      <c r="D203" s="20"/>
      <c r="E203" s="2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7"/>
      <c r="D204" s="20"/>
      <c r="E204" s="2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7"/>
      <c r="D205" s="20"/>
      <c r="E205" s="2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7"/>
      <c r="D206" s="20"/>
      <c r="E206" s="2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7"/>
      <c r="D207" s="20"/>
      <c r="E207" s="2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7"/>
      <c r="D208" s="20"/>
      <c r="E208" s="2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7"/>
      <c r="D209" s="20"/>
      <c r="E209" s="2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7"/>
      <c r="D210" s="20"/>
      <c r="E210" s="2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7"/>
      <c r="D211" s="20"/>
      <c r="E211" s="2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7"/>
      <c r="D212" s="20"/>
      <c r="E212" s="2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7"/>
      <c r="D213" s="20"/>
      <c r="E213" s="2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20"/>
      <c r="C214" s="27"/>
      <c r="D214" s="20"/>
      <c r="E214" s="2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7"/>
      <c r="D215" s="20"/>
      <c r="E215" s="2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7"/>
      <c r="D216" s="20"/>
      <c r="E216" s="2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7"/>
      <c r="D217" s="20"/>
      <c r="E217" s="2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20"/>
      <c r="C218" s="27"/>
      <c r="D218" s="20"/>
      <c r="E218" s="2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7"/>
      <c r="D219" s="20"/>
      <c r="E219" s="2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7"/>
      <c r="D220" s="20"/>
      <c r="E220" s="2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7"/>
      <c r="D221" s="20"/>
      <c r="E221" s="2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20"/>
      <c r="C222" s="27"/>
      <c r="D222" s="20"/>
      <c r="E222" s="2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7"/>
      <c r="D223" s="20"/>
      <c r="E223" s="2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7"/>
      <c r="D224" s="20"/>
      <c r="E224" s="2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7"/>
      <c r="D225" s="20"/>
      <c r="E225" s="2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7"/>
      <c r="D226" s="20"/>
      <c r="E226" s="2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7"/>
      <c r="D227" s="20"/>
      <c r="E227" s="2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20"/>
      <c r="C228" s="27"/>
      <c r="D228" s="20"/>
      <c r="E228" s="2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7"/>
      <c r="D229" s="20"/>
      <c r="E229" s="2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7"/>
      <c r="D230" s="20"/>
      <c r="E230" s="2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7"/>
      <c r="D231" s="20"/>
      <c r="E231" s="2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7"/>
      <c r="D232" s="20"/>
      <c r="E232" s="2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7"/>
      <c r="D233" s="20"/>
      <c r="E233" s="2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7"/>
      <c r="D234" s="20"/>
      <c r="E234" s="2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7"/>
      <c r="D235" s="20"/>
      <c r="E235" s="2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7"/>
      <c r="D236" s="20"/>
      <c r="E236" s="2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7"/>
      <c r="D237" s="20"/>
      <c r="E237" s="2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20"/>
      <c r="C238" s="27"/>
      <c r="D238" s="20"/>
      <c r="E238" s="2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7"/>
      <c r="D239" s="20"/>
      <c r="E239" s="2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20"/>
      <c r="C240" s="27"/>
      <c r="D240" s="20"/>
      <c r="E240" s="2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7"/>
      <c r="D241" s="20"/>
      <c r="E241" s="2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7"/>
      <c r="D242" s="20"/>
      <c r="E242" s="2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7"/>
      <c r="D243" s="20"/>
      <c r="E243" s="2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7"/>
      <c r="D244" s="20"/>
      <c r="E244" s="2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7"/>
      <c r="D245" s="20"/>
      <c r="E245" s="2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7"/>
      <c r="D246" s="20"/>
      <c r="E246" s="2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7"/>
      <c r="D247" s="20"/>
      <c r="E247" s="2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7"/>
      <c r="D248" s="20"/>
      <c r="E248" s="2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7"/>
      <c r="D249" s="20"/>
      <c r="E249" s="2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7"/>
      <c r="D250" s="20"/>
      <c r="E250" s="2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7"/>
      <c r="D251" s="20"/>
      <c r="E251" s="2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7"/>
      <c r="D252" s="20"/>
      <c r="E252" s="2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7"/>
      <c r="D253" s="20"/>
      <c r="E253" s="2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20"/>
      <c r="C254" s="27"/>
      <c r="D254" s="20"/>
      <c r="E254" s="2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7"/>
      <c r="D255" s="20"/>
      <c r="E255" s="2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7"/>
      <c r="D256" s="20"/>
      <c r="E256" s="2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7"/>
      <c r="D257" s="20"/>
      <c r="E257" s="2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7"/>
      <c r="D258" s="20"/>
      <c r="E258" s="2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7"/>
      <c r="D259" s="20"/>
      <c r="E259" s="2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7"/>
      <c r="D260" s="20"/>
      <c r="E260" s="2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7"/>
      <c r="D261" s="20"/>
      <c r="E261" s="2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20"/>
      <c r="C262" s="27"/>
      <c r="D262" s="20"/>
      <c r="E262" s="2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7"/>
      <c r="D263" s="20"/>
      <c r="E263" s="2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7"/>
      <c r="D264" s="20"/>
      <c r="E264" s="2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7"/>
      <c r="D265" s="20"/>
      <c r="E265" s="2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7"/>
      <c r="D266" s="20"/>
      <c r="E266" s="2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7"/>
      <c r="D267" s="20"/>
      <c r="E267" s="2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7"/>
      <c r="D268" s="20"/>
      <c r="E268" s="2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7"/>
      <c r="D269" s="20"/>
      <c r="E269" s="2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20"/>
      <c r="C270" s="27"/>
      <c r="D270" s="20"/>
      <c r="E270" s="2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20"/>
      <c r="C271" s="27"/>
      <c r="D271" s="20"/>
      <c r="E271" s="2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20"/>
      <c r="C272" s="27"/>
      <c r="D272" s="20"/>
      <c r="E272" s="2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7"/>
      <c r="D273" s="20"/>
      <c r="E273" s="2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7"/>
      <c r="D274" s="20"/>
      <c r="E274" s="2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7"/>
      <c r="D275" s="20"/>
      <c r="E275" s="2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7"/>
      <c r="D276" s="20"/>
      <c r="E276" s="2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/>
      <c r="C277" s="27"/>
      <c r="D277" s="20"/>
      <c r="E277" s="2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/>
      <c r="C278" s="27"/>
      <c r="D278" s="20"/>
      <c r="E278" s="2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/>
      <c r="C279" s="27"/>
      <c r="D279" s="20"/>
      <c r="E279" s="2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20"/>
      <c r="C280" s="27"/>
      <c r="D280" s="20"/>
      <c r="E280" s="2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20"/>
      <c r="C281" s="27"/>
      <c r="D281" s="20"/>
      <c r="E281" s="2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7"/>
      <c r="D282" s="20"/>
      <c r="E282" s="2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20"/>
      <c r="C283" s="27"/>
      <c r="D283" s="20"/>
      <c r="E283" s="2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7"/>
      <c r="D284" s="20"/>
      <c r="E284" s="2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7"/>
      <c r="D285" s="20"/>
      <c r="E285" s="2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7"/>
      <c r="D286" s="20"/>
      <c r="E286" s="2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20"/>
      <c r="C287" s="27"/>
      <c r="D287" s="20"/>
      <c r="E287" s="2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7"/>
      <c r="D288" s="20"/>
      <c r="E288" s="2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20"/>
      <c r="C289" s="27"/>
      <c r="D289" s="20"/>
      <c r="E289" s="2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20"/>
      <c r="C290" s="27"/>
      <c r="D290" s="20"/>
      <c r="E290" s="2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7"/>
      <c r="D291" s="20"/>
      <c r="E291" s="2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7"/>
      <c r="D292" s="20"/>
      <c r="E292" s="2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7"/>
      <c r="D293" s="20"/>
      <c r="E293" s="2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7"/>
      <c r="D294" s="20"/>
      <c r="E294" s="2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7"/>
      <c r="D295" s="20"/>
      <c r="E295" s="2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7"/>
      <c r="D296" s="20"/>
      <c r="E296" s="2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7"/>
      <c r="D297" s="20"/>
      <c r="E297" s="2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7"/>
      <c r="D298" s="20"/>
      <c r="E298" s="2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7"/>
      <c r="D299" s="20"/>
      <c r="E299" s="2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7"/>
      <c r="D300" s="20"/>
      <c r="E300" s="2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7"/>
      <c r="D301" s="20"/>
      <c r="E301" s="2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20"/>
      <c r="C302" s="27"/>
      <c r="D302" s="20"/>
      <c r="E302" s="2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20"/>
      <c r="C303" s="27"/>
      <c r="D303" s="20"/>
      <c r="E303" s="2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7"/>
      <c r="D304" s="20"/>
      <c r="E304" s="2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20"/>
      <c r="C305" s="27"/>
      <c r="D305" s="20"/>
      <c r="E305" s="2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7"/>
      <c r="D306" s="20"/>
      <c r="E306" s="2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7"/>
      <c r="D307" s="20"/>
      <c r="E307" s="2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7"/>
      <c r="D308" s="20"/>
      <c r="E308" s="2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20"/>
      <c r="C309" s="27"/>
      <c r="D309" s="20"/>
      <c r="E309" s="2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7"/>
      <c r="D310" s="20"/>
      <c r="E310" s="2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7"/>
      <c r="D311" s="20"/>
      <c r="E311" s="2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7"/>
      <c r="D312" s="20"/>
      <c r="E312" s="2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7"/>
      <c r="D313" s="20"/>
      <c r="E313" s="2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20"/>
      <c r="C314" s="27"/>
      <c r="D314" s="20"/>
      <c r="E314" s="2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7"/>
      <c r="D315" s="20"/>
      <c r="E315" s="2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7"/>
      <c r="D316" s="20"/>
      <c r="E316" s="2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7"/>
      <c r="D317" s="20"/>
      <c r="E317" s="2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7"/>
      <c r="D318" s="20"/>
      <c r="E318" s="2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7"/>
      <c r="D319" s="20"/>
      <c r="E319" s="2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7"/>
      <c r="D320" s="20"/>
      <c r="E320" s="2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7"/>
      <c r="D321" s="20"/>
      <c r="E321" s="2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7"/>
      <c r="D322" s="20"/>
      <c r="E322" s="2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20"/>
      <c r="C323" s="27"/>
      <c r="D323" s="20"/>
      <c r="E323" s="2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20"/>
      <c r="C324" s="27"/>
      <c r="D324" s="20"/>
      <c r="E324" s="2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20"/>
      <c r="C325" s="27"/>
      <c r="D325" s="20"/>
      <c r="E325" s="2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20"/>
      <c r="C326" s="27"/>
      <c r="D326" s="20"/>
      <c r="E326" s="2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7"/>
      <c r="D327" s="20"/>
      <c r="E327" s="2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7"/>
      <c r="D328" s="20"/>
      <c r="E328" s="2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7"/>
      <c r="D329" s="20"/>
      <c r="E329" s="2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7"/>
      <c r="D330" s="20"/>
      <c r="E330" s="2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7"/>
      <c r="D331" s="20"/>
      <c r="E331" s="2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7"/>
      <c r="D332" s="20"/>
      <c r="E332" s="2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7"/>
      <c r="D333" s="20"/>
      <c r="E333" s="2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20"/>
      <c r="C334" s="27"/>
      <c r="D334" s="20"/>
      <c r="E334" s="2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7"/>
      <c r="D335" s="20"/>
      <c r="E335" s="2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7"/>
      <c r="D336" s="20"/>
      <c r="E336" s="2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20"/>
      <c r="C337" s="27"/>
      <c r="D337" s="20"/>
      <c r="E337" s="2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20"/>
      <c r="C338" s="27"/>
      <c r="D338" s="20"/>
      <c r="E338" s="2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7"/>
      <c r="D339" s="20"/>
      <c r="E339" s="2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7"/>
      <c r="D340" s="20"/>
      <c r="E340" s="2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7"/>
      <c r="D341" s="20"/>
      <c r="E341" s="2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7"/>
      <c r="D342" s="20"/>
      <c r="E342" s="2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20"/>
      <c r="C343" s="27"/>
      <c r="D343" s="20"/>
      <c r="E343" s="2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20"/>
      <c r="C344" s="27"/>
      <c r="D344" s="20"/>
      <c r="E344" s="2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7"/>
      <c r="D345" s="20"/>
      <c r="E345" s="2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7"/>
      <c r="D346" s="20"/>
      <c r="E346" s="2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7"/>
      <c r="D347" s="20"/>
      <c r="E347" s="2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7"/>
      <c r="D348" s="20"/>
      <c r="E348" s="2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7"/>
      <c r="D349" s="20"/>
      <c r="E349" s="2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7"/>
      <c r="D350" s="20"/>
      <c r="E350" s="2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7"/>
      <c r="D351" s="20"/>
      <c r="E351" s="2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7"/>
      <c r="D352" s="20"/>
      <c r="E352" s="2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20"/>
      <c r="C353" s="27"/>
      <c r="D353" s="20"/>
      <c r="E353" s="2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20"/>
      <c r="C354" s="27"/>
      <c r="D354" s="20"/>
      <c r="E354" s="2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20"/>
      <c r="C355" s="27"/>
      <c r="D355" s="20"/>
      <c r="E355" s="2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7"/>
      <c r="D356" s="20"/>
      <c r="E356" s="2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7"/>
      <c r="D357" s="20"/>
      <c r="E357" s="2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7"/>
      <c r="D358" s="20"/>
      <c r="E358" s="2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7"/>
      <c r="D359" s="20"/>
      <c r="E359" s="2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7"/>
      <c r="D360" s="20"/>
      <c r="E360" s="2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20"/>
      <c r="C361" s="27"/>
      <c r="D361" s="20"/>
      <c r="E361" s="2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/>
      <c r="C362" s="27"/>
      <c r="D362" s="20"/>
      <c r="E362" s="2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/>
      <c r="C363" s="27"/>
      <c r="D363" s="20"/>
      <c r="E363" s="2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20"/>
      <c r="C364" s="27"/>
      <c r="D364" s="20"/>
      <c r="E364" s="2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20"/>
      <c r="C365" s="27"/>
      <c r="D365" s="20"/>
      <c r="E365" s="2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20"/>
      <c r="C366" s="27"/>
      <c r="D366" s="20"/>
      <c r="E366" s="2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7"/>
      <c r="D367" s="20"/>
      <c r="E367" s="2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7"/>
      <c r="D368" s="20"/>
      <c r="E368" s="2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20"/>
      <c r="C369" s="27"/>
      <c r="D369" s="20"/>
      <c r="E369" s="2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20"/>
      <c r="C370" s="27"/>
      <c r="D370" s="20"/>
      <c r="E370" s="2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7"/>
      <c r="D371" s="20"/>
      <c r="E371" s="2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7"/>
      <c r="D372" s="20"/>
      <c r="E372" s="2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7"/>
      <c r="D373" s="20"/>
      <c r="E373" s="2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7"/>
      <c r="D374" s="20"/>
      <c r="E374" s="2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7"/>
      <c r="D375" s="20"/>
      <c r="E375" s="2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7"/>
      <c r="D376" s="20"/>
      <c r="E376" s="2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7"/>
      <c r="D377" s="20"/>
      <c r="E377" s="2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7"/>
      <c r="D378" s="20"/>
      <c r="E378" s="2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7"/>
      <c r="D379" s="20"/>
      <c r="E379" s="2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7"/>
      <c r="D380" s="20"/>
      <c r="E380" s="2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7"/>
      <c r="D381" s="20"/>
      <c r="E381" s="2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20"/>
      <c r="C382" s="27"/>
      <c r="D382" s="20"/>
      <c r="E382" s="2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7"/>
      <c r="D383" s="20"/>
      <c r="E383" s="2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20"/>
      <c r="C384" s="27"/>
      <c r="D384" s="20"/>
      <c r="E384" s="2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20"/>
      <c r="C385" s="27"/>
      <c r="D385" s="20"/>
      <c r="E385" s="2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7"/>
      <c r="D386" s="20"/>
      <c r="E386" s="2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7"/>
      <c r="D387" s="20"/>
      <c r="E387" s="2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7"/>
      <c r="D388" s="20"/>
      <c r="E388" s="2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7"/>
      <c r="D389" s="20"/>
      <c r="E389" s="2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7"/>
      <c r="D390" s="20"/>
      <c r="E390" s="2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7"/>
      <c r="D391" s="20"/>
      <c r="E391" s="2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7"/>
      <c r="D392" s="20"/>
      <c r="E392" s="2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20"/>
      <c r="C393" s="27"/>
      <c r="D393" s="20"/>
      <c r="E393" s="2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20"/>
      <c r="C394" s="27"/>
      <c r="D394" s="20"/>
      <c r="E394" s="2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20"/>
      <c r="C395" s="27"/>
      <c r="D395" s="20"/>
      <c r="E395" s="2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7"/>
      <c r="D396" s="20"/>
      <c r="E396" s="2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7"/>
      <c r="D397" s="20"/>
      <c r="E397" s="2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7"/>
      <c r="D398" s="20"/>
      <c r="E398" s="2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7"/>
      <c r="D399" s="20"/>
      <c r="E399" s="2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20"/>
      <c r="C400" s="27"/>
      <c r="D400" s="20"/>
      <c r="E400" s="2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/>
      <c r="C401" s="27"/>
      <c r="D401" s="20"/>
      <c r="E401" s="2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7"/>
      <c r="D402" s="20"/>
      <c r="E402" s="2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7"/>
      <c r="D403" s="20"/>
      <c r="E403" s="2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7"/>
      <c r="D404" s="20"/>
      <c r="E404" s="2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20"/>
      <c r="C405" s="27"/>
      <c r="D405" s="20"/>
      <c r="E405" s="2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7"/>
      <c r="D406" s="20"/>
      <c r="E406" s="2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7"/>
      <c r="D407" s="20"/>
      <c r="E407" s="2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20"/>
      <c r="C408" s="27"/>
      <c r="D408" s="20"/>
      <c r="E408" s="2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20"/>
      <c r="C409" s="27"/>
      <c r="D409" s="20"/>
      <c r="E409" s="2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20"/>
      <c r="C410" s="27"/>
      <c r="D410" s="20"/>
      <c r="E410" s="2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20"/>
      <c r="C411" s="27"/>
      <c r="D411" s="20"/>
      <c r="E411" s="2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20"/>
      <c r="C412" s="27"/>
      <c r="D412" s="20"/>
      <c r="E412" s="2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7"/>
      <c r="D413" s="20"/>
      <c r="E413" s="2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20"/>
      <c r="C414" s="27"/>
      <c r="D414" s="20"/>
      <c r="E414" s="2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7"/>
      <c r="D415" s="20"/>
      <c r="E415" s="2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7"/>
      <c r="D416" s="20"/>
      <c r="E416" s="2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7"/>
      <c r="D417" s="20"/>
      <c r="E417" s="2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20"/>
      <c r="C418" s="27"/>
      <c r="D418" s="20"/>
      <c r="E418" s="2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20"/>
      <c r="C419" s="27"/>
      <c r="D419" s="20"/>
      <c r="E419" s="2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7"/>
      <c r="D420" s="20"/>
      <c r="E420" s="2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7"/>
      <c r="D421" s="20"/>
      <c r="E421" s="2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7"/>
      <c r="D422" s="20"/>
      <c r="E422" s="2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7"/>
      <c r="D423" s="20"/>
      <c r="E423" s="2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20"/>
      <c r="C424" s="27"/>
      <c r="D424" s="20"/>
      <c r="E424" s="2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7"/>
      <c r="D425" s="20"/>
      <c r="E425" s="2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7"/>
      <c r="D426" s="20"/>
      <c r="E426" s="2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20"/>
      <c r="C427" s="27"/>
      <c r="D427" s="20"/>
      <c r="E427" s="2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20"/>
      <c r="C428" s="27"/>
      <c r="D428" s="20"/>
      <c r="E428" s="2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7"/>
      <c r="D429" s="20"/>
      <c r="E429" s="2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7"/>
      <c r="D430" s="20"/>
      <c r="E430" s="2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7"/>
      <c r="D431" s="20"/>
      <c r="E431" s="2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7"/>
      <c r="D432" s="20"/>
      <c r="E432" s="2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7"/>
      <c r="D433" s="20"/>
      <c r="E433" s="2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7"/>
      <c r="D434" s="20"/>
      <c r="E434" s="2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20"/>
      <c r="C435" s="27"/>
      <c r="D435" s="20"/>
      <c r="E435" s="2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20"/>
      <c r="C436" s="27"/>
      <c r="D436" s="20"/>
      <c r="E436" s="2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7"/>
      <c r="D437" s="20"/>
      <c r="E437" s="2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7"/>
      <c r="D438" s="20"/>
      <c r="E438" s="2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7"/>
      <c r="D439" s="20"/>
      <c r="E439" s="2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7"/>
      <c r="D440" s="20"/>
      <c r="E440" s="2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7"/>
      <c r="D441" s="20"/>
      <c r="E441" s="2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7"/>
      <c r="D442" s="20"/>
      <c r="E442" s="2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7"/>
      <c r="D443" s="20"/>
      <c r="E443" s="2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7"/>
      <c r="D444" s="20"/>
      <c r="E444" s="2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7"/>
      <c r="D445" s="20"/>
      <c r="E445" s="2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7"/>
      <c r="D446" s="20"/>
      <c r="E446" s="2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7"/>
      <c r="D447" s="20"/>
      <c r="E447" s="2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20"/>
      <c r="C448" s="27"/>
      <c r="D448" s="20"/>
      <c r="E448" s="2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20"/>
      <c r="C449" s="27"/>
      <c r="D449" s="20"/>
      <c r="E449" s="2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7"/>
      <c r="D450" s="20"/>
      <c r="E450" s="2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7"/>
      <c r="D451" s="20"/>
      <c r="E451" s="2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20"/>
      <c r="C452" s="27"/>
      <c r="D452" s="20"/>
      <c r="E452" s="2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20"/>
      <c r="C453" s="27"/>
      <c r="D453" s="20"/>
      <c r="E453" s="2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20"/>
      <c r="C454" s="27"/>
      <c r="D454" s="20"/>
      <c r="E454" s="2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20"/>
      <c r="C455" s="27"/>
      <c r="D455" s="20"/>
      <c r="E455" s="2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20"/>
      <c r="C456" s="27"/>
      <c r="D456" s="20"/>
      <c r="E456" s="2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20"/>
      <c r="C457" s="27"/>
      <c r="D457" s="20"/>
      <c r="E457" s="2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20"/>
      <c r="C458" s="27"/>
      <c r="D458" s="20"/>
      <c r="E458" s="2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20"/>
      <c r="C459" s="27"/>
      <c r="D459" s="20"/>
      <c r="E459" s="2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7"/>
      <c r="D460" s="20"/>
      <c r="E460" s="2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20"/>
      <c r="C461" s="27"/>
      <c r="D461" s="20"/>
      <c r="E461" s="2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7"/>
      <c r="D462" s="20"/>
      <c r="E462" s="2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7"/>
      <c r="D463" s="20"/>
      <c r="E463" s="2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7"/>
      <c r="D464" s="20"/>
      <c r="E464" s="2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7"/>
      <c r="D465" s="20"/>
      <c r="E465" s="2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20"/>
      <c r="C466" s="27"/>
      <c r="D466" s="20"/>
      <c r="E466" s="2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7"/>
      <c r="D467" s="20"/>
      <c r="E467" s="2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7"/>
      <c r="D468" s="20"/>
      <c r="E468" s="2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7"/>
      <c r="D469" s="20"/>
      <c r="E469" s="2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7"/>
      <c r="D470" s="20"/>
      <c r="E470" s="2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7"/>
      <c r="D471" s="20"/>
      <c r="E471" s="2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7"/>
      <c r="D472" s="20"/>
      <c r="E472" s="2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7"/>
      <c r="D473" s="20"/>
      <c r="E473" s="2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20"/>
      <c r="C474" s="27"/>
      <c r="D474" s="20"/>
      <c r="E474" s="2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20"/>
      <c r="C475" s="27"/>
      <c r="D475" s="20"/>
      <c r="E475" s="2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20"/>
      <c r="C476" s="27"/>
      <c r="D476" s="20"/>
      <c r="E476" s="2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20"/>
      <c r="C477" s="27"/>
      <c r="D477" s="20"/>
      <c r="E477" s="2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7"/>
      <c r="D478" s="20"/>
      <c r="E478" s="2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7"/>
      <c r="D479" s="20"/>
      <c r="E479" s="2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20"/>
      <c r="C480" s="27"/>
      <c r="D480" s="20"/>
      <c r="E480" s="2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20"/>
      <c r="C481" s="27"/>
      <c r="D481" s="20"/>
      <c r="E481" s="2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20"/>
      <c r="C482" s="27"/>
      <c r="D482" s="20"/>
      <c r="E482" s="2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7"/>
      <c r="D483" s="20"/>
      <c r="E483" s="2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7"/>
      <c r="D484" s="20"/>
      <c r="E484" s="2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7"/>
      <c r="D485" s="20"/>
      <c r="E485" s="2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7"/>
      <c r="D486" s="20"/>
      <c r="E486" s="2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7"/>
      <c r="D487" s="20"/>
      <c r="E487" s="2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20"/>
      <c r="C488" s="27"/>
      <c r="D488" s="20"/>
      <c r="E488" s="2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20"/>
      <c r="C489" s="27"/>
      <c r="D489" s="20"/>
      <c r="E489" s="2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20"/>
      <c r="C490" s="27"/>
      <c r="D490" s="20"/>
      <c r="E490" s="2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20"/>
      <c r="C491" s="27"/>
      <c r="D491" s="20"/>
      <c r="E491" s="2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20"/>
      <c r="C492" s="27"/>
      <c r="D492" s="20"/>
      <c r="E492" s="2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20"/>
      <c r="C493" s="27"/>
      <c r="D493" s="20"/>
      <c r="E493" s="2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20"/>
      <c r="C494" s="27"/>
      <c r="D494" s="20"/>
      <c r="E494" s="2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20"/>
      <c r="C495" s="27"/>
      <c r="D495" s="20"/>
      <c r="E495" s="2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7"/>
      <c r="D496" s="20"/>
      <c r="E496" s="2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7"/>
      <c r="D497" s="20"/>
      <c r="E497" s="2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7"/>
      <c r="D498" s="20"/>
      <c r="E498" s="2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20"/>
      <c r="C499" s="27"/>
      <c r="D499" s="20"/>
      <c r="E499" s="2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7"/>
      <c r="D500" s="20"/>
      <c r="E500" s="2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20"/>
      <c r="C501" s="27"/>
      <c r="D501" s="20"/>
      <c r="E501" s="2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20"/>
      <c r="C502" s="27"/>
      <c r="D502" s="20"/>
      <c r="E502" s="2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7"/>
      <c r="D503" s="20"/>
      <c r="E503" s="2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7"/>
      <c r="D504" s="20"/>
      <c r="E504" s="2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7"/>
      <c r="D505" s="20"/>
      <c r="E505" s="2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7"/>
      <c r="D506" s="20"/>
      <c r="E506" s="2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7"/>
      <c r="D507" s="20"/>
      <c r="E507" s="2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7"/>
      <c r="D508" s="20"/>
      <c r="E508" s="2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20"/>
      <c r="C509" s="27"/>
      <c r="D509" s="20"/>
      <c r="E509" s="2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20"/>
      <c r="C510" s="27"/>
      <c r="D510" s="20"/>
      <c r="E510" s="2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7"/>
      <c r="D511" s="20"/>
      <c r="E511" s="2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7"/>
      <c r="D512" s="20"/>
      <c r="E512" s="2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20"/>
      <c r="C513" s="27"/>
      <c r="D513" s="20"/>
      <c r="E513" s="2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7"/>
      <c r="D514" s="20"/>
      <c r="E514" s="2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7"/>
      <c r="D515" s="20"/>
      <c r="E515" s="2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7"/>
      <c r="D516" s="20"/>
      <c r="E516" s="2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7"/>
      <c r="D517" s="20"/>
      <c r="E517" s="2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20"/>
      <c r="C518" s="27"/>
      <c r="D518" s="20"/>
      <c r="E518" s="2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20"/>
      <c r="C519" s="27"/>
      <c r="D519" s="20"/>
      <c r="E519" s="2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20"/>
      <c r="C520" s="27"/>
      <c r="D520" s="20"/>
      <c r="E520" s="2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20"/>
      <c r="C521" s="27"/>
      <c r="D521" s="20"/>
      <c r="E521" s="2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20"/>
      <c r="C522" s="27"/>
      <c r="D522" s="20"/>
      <c r="E522" s="2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20"/>
      <c r="C523" s="27"/>
      <c r="D523" s="20"/>
      <c r="E523" s="2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20"/>
      <c r="C524" s="27"/>
      <c r="D524" s="20"/>
      <c r="E524" s="2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20"/>
      <c r="C525" s="27"/>
      <c r="D525" s="20"/>
      <c r="E525" s="2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20"/>
      <c r="C526" s="27"/>
      <c r="D526" s="20"/>
      <c r="E526" s="2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20"/>
      <c r="C527" s="27"/>
      <c r="D527" s="20"/>
      <c r="E527" s="2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20"/>
      <c r="C528" s="27"/>
      <c r="D528" s="20"/>
      <c r="E528" s="2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20"/>
      <c r="C529" s="27"/>
      <c r="D529" s="20"/>
      <c r="E529" s="2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20"/>
      <c r="C530" s="27"/>
      <c r="D530" s="20"/>
      <c r="E530" s="2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20"/>
      <c r="C531" s="27"/>
      <c r="D531" s="20"/>
      <c r="E531" s="2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20"/>
      <c r="C532" s="27"/>
      <c r="D532" s="20"/>
      <c r="E532" s="2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7"/>
      <c r="D533" s="20"/>
      <c r="E533" s="2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20"/>
      <c r="C534" s="27"/>
      <c r="D534" s="20"/>
      <c r="E534" s="2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7"/>
      <c r="D535" s="20"/>
      <c r="E535" s="2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7"/>
      <c r="D536" s="20"/>
      <c r="E536" s="2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7"/>
      <c r="D537" s="20"/>
      <c r="E537" s="2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7"/>
      <c r="D538" s="20"/>
      <c r="E538" s="2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7"/>
      <c r="D539" s="20"/>
      <c r="E539" s="2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7"/>
      <c r="D540" s="20"/>
      <c r="E540" s="2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/>
      <c r="C541" s="27"/>
      <c r="D541" s="20"/>
      <c r="E541" s="2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20"/>
      <c r="C542" s="27"/>
      <c r="D542" s="20"/>
      <c r="E542" s="2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7"/>
      <c r="D543" s="20"/>
      <c r="E543" s="2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7"/>
      <c r="D544" s="20"/>
      <c r="E544" s="2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7"/>
      <c r="D545" s="20"/>
      <c r="E545" s="2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7"/>
      <c r="D546" s="20"/>
      <c r="E546" s="2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20"/>
      <c r="C547" s="27"/>
      <c r="D547" s="20"/>
      <c r="E547" s="2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7"/>
      <c r="D548" s="20"/>
      <c r="E548" s="2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7"/>
      <c r="D549" s="20"/>
      <c r="E549" s="2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20"/>
      <c r="C550" s="27"/>
      <c r="D550" s="20"/>
      <c r="E550" s="2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20"/>
      <c r="C551" s="27"/>
      <c r="D551" s="20"/>
      <c r="E551" s="2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7"/>
      <c r="D552" s="20"/>
      <c r="E552" s="2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7"/>
      <c r="D553" s="20"/>
      <c r="E553" s="2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7"/>
      <c r="D554" s="20"/>
      <c r="E554" s="2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7"/>
      <c r="D555" s="20"/>
      <c r="E555" s="2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20"/>
      <c r="C556" s="27"/>
      <c r="D556" s="20"/>
      <c r="E556" s="2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7"/>
      <c r="D557" s="20"/>
      <c r="E557" s="2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7"/>
      <c r="D558" s="20"/>
      <c r="E558" s="2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7"/>
      <c r="D559" s="20"/>
      <c r="E559" s="2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7"/>
      <c r="D560" s="20"/>
      <c r="E560" s="2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7"/>
      <c r="D561" s="20"/>
      <c r="E561" s="2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7"/>
      <c r="D562" s="20"/>
      <c r="E562" s="2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7"/>
      <c r="D563" s="20"/>
      <c r="E563" s="2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7"/>
      <c r="D564" s="20"/>
      <c r="E564" s="2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20"/>
      <c r="C565" s="27"/>
      <c r="D565" s="20"/>
      <c r="E565" s="2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20"/>
      <c r="C566" s="27"/>
      <c r="D566" s="20"/>
      <c r="E566" s="2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7"/>
      <c r="D567" s="20"/>
      <c r="E567" s="2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7"/>
      <c r="D568" s="20"/>
      <c r="E568" s="2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7"/>
      <c r="D569" s="20"/>
      <c r="E569" s="2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7"/>
      <c r="D570" s="20"/>
      <c r="E570" s="2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7"/>
      <c r="D571" s="20"/>
      <c r="E571" s="2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7"/>
      <c r="D572" s="20"/>
      <c r="E572" s="2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20"/>
      <c r="C573" s="27"/>
      <c r="D573" s="20"/>
      <c r="E573" s="2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7"/>
      <c r="D574" s="20"/>
      <c r="E574" s="2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20"/>
      <c r="C575" s="27"/>
      <c r="D575" s="20"/>
      <c r="E575" s="2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20"/>
      <c r="C576" s="27"/>
      <c r="D576" s="20"/>
      <c r="E576" s="2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7"/>
      <c r="D577" s="20"/>
      <c r="E577" s="2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7"/>
      <c r="D578" s="20"/>
      <c r="E578" s="2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7"/>
      <c r="D579" s="20"/>
      <c r="E579" s="2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7"/>
      <c r="D580" s="20"/>
      <c r="E580" s="2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7"/>
      <c r="D581" s="20"/>
      <c r="E581" s="2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20"/>
      <c r="C582" s="27"/>
      <c r="D582" s="20"/>
      <c r="E582" s="2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7"/>
      <c r="D583" s="20"/>
      <c r="E583" s="2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7"/>
      <c r="D584" s="20"/>
      <c r="E584" s="2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7"/>
      <c r="D585" s="20"/>
      <c r="E585" s="2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7"/>
      <c r="D586" s="20"/>
      <c r="E586" s="2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7"/>
      <c r="D587" s="20"/>
      <c r="E587" s="2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7"/>
      <c r="D588" s="20"/>
      <c r="E588" s="2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7"/>
      <c r="D589" s="20"/>
      <c r="E589" s="2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7"/>
      <c r="D590" s="20"/>
      <c r="E590" s="2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7"/>
      <c r="D591" s="20"/>
      <c r="E591" s="2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7"/>
      <c r="D592" s="20"/>
      <c r="E592" s="2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7"/>
      <c r="D593" s="20"/>
      <c r="E593" s="2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7"/>
      <c r="D594" s="20"/>
      <c r="E594" s="2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7"/>
      <c r="D595" s="20"/>
      <c r="E595" s="2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7"/>
      <c r="D596" s="20"/>
      <c r="E596" s="2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7"/>
      <c r="D597" s="20"/>
      <c r="E597" s="2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7"/>
      <c r="D598" s="20"/>
      <c r="E598" s="2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7"/>
      <c r="D599" s="20"/>
      <c r="E599" s="2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20"/>
      <c r="C600" s="27"/>
      <c r="D600" s="20"/>
      <c r="E600" s="2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7"/>
      <c r="D601" s="20"/>
      <c r="E601" s="2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7"/>
      <c r="D602" s="20"/>
      <c r="E602" s="2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7"/>
      <c r="D603" s="20"/>
      <c r="E603" s="2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20"/>
      <c r="C604" s="27"/>
      <c r="D604" s="20"/>
      <c r="E604" s="2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20"/>
      <c r="C605" s="27"/>
      <c r="D605" s="20"/>
      <c r="E605" s="2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7"/>
      <c r="D606" s="20"/>
      <c r="E606" s="2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7"/>
      <c r="D607" s="20"/>
      <c r="E607" s="2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7"/>
      <c r="D608" s="20"/>
      <c r="E608" s="2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7"/>
      <c r="D609" s="20"/>
      <c r="E609" s="2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7"/>
      <c r="D610" s="20"/>
      <c r="E610" s="2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7"/>
      <c r="D611" s="20"/>
      <c r="E611" s="2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7"/>
      <c r="D612" s="20"/>
      <c r="E612" s="2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7"/>
      <c r="D613" s="20"/>
      <c r="E613" s="2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7"/>
      <c r="D614" s="20"/>
      <c r="E614" s="2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20"/>
      <c r="C615" s="27"/>
      <c r="D615" s="20"/>
      <c r="E615" s="2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7"/>
      <c r="D616" s="20"/>
      <c r="E616" s="2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7"/>
      <c r="D617" s="20"/>
      <c r="E617" s="2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7"/>
      <c r="D618" s="20"/>
      <c r="E618" s="2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27"/>
      <c r="D619" s="20"/>
      <c r="E619" s="2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7"/>
      <c r="D620" s="20"/>
      <c r="E620" s="2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7"/>
      <c r="D621" s="20"/>
      <c r="E621" s="2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7"/>
      <c r="D622" s="20"/>
      <c r="E622" s="2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7"/>
      <c r="D623" s="20"/>
      <c r="E623" s="2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7"/>
      <c r="D624" s="20"/>
      <c r="E624" s="2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7"/>
      <c r="D625" s="20"/>
      <c r="E625" s="2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7"/>
      <c r="D626" s="20"/>
      <c r="E626" s="2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20"/>
      <c r="C627" s="27"/>
      <c r="D627" s="20"/>
      <c r="E627" s="2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20"/>
      <c r="C628" s="27"/>
      <c r="D628" s="20"/>
      <c r="E628" s="2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20"/>
      <c r="C629" s="27"/>
      <c r="D629" s="20"/>
      <c r="E629" s="2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7"/>
      <c r="D630" s="20"/>
      <c r="E630" s="2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7"/>
      <c r="D631" s="20"/>
      <c r="E631" s="2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7"/>
      <c r="D632" s="20"/>
      <c r="E632" s="2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7"/>
      <c r="D633" s="20"/>
      <c r="E633" s="2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7"/>
      <c r="D634" s="20"/>
      <c r="E634" s="2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7"/>
      <c r="D635" s="20"/>
      <c r="E635" s="2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7"/>
      <c r="D636" s="20"/>
      <c r="E636" s="2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7"/>
      <c r="D637" s="20"/>
      <c r="E637" s="2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20"/>
      <c r="C638" s="27"/>
      <c r="D638" s="20"/>
      <c r="E638" s="2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7"/>
      <c r="D639" s="20"/>
      <c r="E639" s="2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7"/>
      <c r="D640" s="20"/>
      <c r="E640" s="2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20"/>
      <c r="C641" s="27"/>
      <c r="D641" s="20"/>
      <c r="E641" s="2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20"/>
      <c r="C642" s="27"/>
      <c r="D642" s="20"/>
      <c r="E642" s="2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7"/>
      <c r="D643" s="20"/>
      <c r="E643" s="2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20"/>
      <c r="C644" s="27"/>
      <c r="D644" s="20"/>
      <c r="E644" s="2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20"/>
      <c r="C645" s="27"/>
      <c r="D645" s="20"/>
      <c r="E645" s="2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7"/>
      <c r="D646" s="20"/>
      <c r="E646" s="2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7"/>
      <c r="D647" s="20"/>
      <c r="E647" s="2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7"/>
      <c r="D648" s="20"/>
      <c r="E648" s="2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7"/>
      <c r="D649" s="20"/>
      <c r="E649" s="2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7"/>
      <c r="D650" s="20"/>
      <c r="E650" s="2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7"/>
      <c r="D651" s="20"/>
      <c r="E651" s="2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7"/>
      <c r="D652" s="20"/>
      <c r="E652" s="2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7"/>
      <c r="D653" s="20"/>
      <c r="E653" s="2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7"/>
      <c r="D654" s="20"/>
      <c r="E654" s="2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7"/>
      <c r="D655" s="20"/>
      <c r="E655" s="2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7"/>
      <c r="D656" s="20"/>
      <c r="E656" s="2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20"/>
      <c r="C657" s="27"/>
      <c r="D657" s="20"/>
      <c r="E657" s="2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20"/>
      <c r="C658" s="27"/>
      <c r="D658" s="20"/>
      <c r="E658" s="2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7"/>
      <c r="D659" s="20"/>
      <c r="E659" s="2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20"/>
      <c r="C660" s="27"/>
      <c r="D660" s="20"/>
      <c r="E660" s="2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20"/>
      <c r="C661" s="27"/>
      <c r="D661" s="20"/>
      <c r="E661" s="2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7"/>
      <c r="D662" s="20"/>
      <c r="E662" s="2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7"/>
      <c r="D663" s="20"/>
      <c r="E663" s="2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7"/>
      <c r="D664" s="20"/>
      <c r="E664" s="2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7"/>
      <c r="D665" s="20"/>
      <c r="E665" s="2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20"/>
      <c r="C666" s="27"/>
      <c r="D666" s="20"/>
      <c r="E666" s="2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7"/>
      <c r="D667" s="20"/>
      <c r="E667" s="2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7"/>
      <c r="D668" s="20"/>
      <c r="E668" s="2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7"/>
      <c r="D669" s="20"/>
      <c r="E669" s="2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7"/>
      <c r="D670" s="20"/>
      <c r="E670" s="2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7"/>
      <c r="D671" s="20"/>
      <c r="E671" s="2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7"/>
      <c r="D672" s="20"/>
      <c r="E672" s="2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7"/>
      <c r="D673" s="20"/>
      <c r="E673" s="2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7"/>
      <c r="D674" s="20"/>
      <c r="E674" s="2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7"/>
      <c r="D675" s="20"/>
      <c r="E675" s="2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7"/>
      <c r="D676" s="20"/>
      <c r="E676" s="2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7"/>
      <c r="D677" s="20"/>
      <c r="E677" s="2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7"/>
      <c r="D678" s="20"/>
      <c r="E678" s="2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7"/>
      <c r="D679" s="20"/>
      <c r="E679" s="2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7"/>
      <c r="D680" s="20"/>
      <c r="E680" s="2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7"/>
      <c r="D681" s="20"/>
      <c r="E681" s="2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7"/>
      <c r="D682" s="20"/>
      <c r="E682" s="2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7"/>
      <c r="D683" s="20"/>
      <c r="E683" s="2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7"/>
      <c r="D684" s="20"/>
      <c r="E684" s="2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20"/>
      <c r="C685" s="27"/>
      <c r="D685" s="20"/>
      <c r="E685" s="2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20"/>
      <c r="C686" s="27"/>
      <c r="D686" s="20"/>
      <c r="E686" s="2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20"/>
      <c r="C687" s="27"/>
      <c r="D687" s="20"/>
      <c r="E687" s="2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7"/>
      <c r="D688" s="20"/>
      <c r="E688" s="2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7"/>
      <c r="D689" s="20"/>
      <c r="E689" s="2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7"/>
      <c r="D690" s="20"/>
      <c r="E690" s="2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7"/>
      <c r="D691" s="20"/>
      <c r="E691" s="2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7"/>
      <c r="D692" s="20"/>
      <c r="E692" s="2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7"/>
      <c r="D693" s="20"/>
      <c r="E693" s="2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7"/>
      <c r="D694" s="20"/>
      <c r="E694" s="2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7"/>
      <c r="D695" s="20"/>
      <c r="E695" s="2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7"/>
      <c r="D696" s="20"/>
      <c r="E696" s="2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7"/>
      <c r="D697" s="20"/>
      <c r="E697" s="2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7"/>
      <c r="D698" s="20"/>
      <c r="E698" s="2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20"/>
      <c r="C699" s="27"/>
      <c r="D699" s="20"/>
      <c r="E699" s="2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20"/>
      <c r="C700" s="27"/>
      <c r="D700" s="20"/>
      <c r="E700" s="2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20"/>
      <c r="C701" s="27"/>
      <c r="D701" s="20"/>
      <c r="E701" s="2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20"/>
      <c r="C702" s="27"/>
      <c r="D702" s="20"/>
      <c r="E702" s="2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20"/>
      <c r="C703" s="27"/>
      <c r="D703" s="20"/>
      <c r="E703" s="2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7"/>
      <c r="D704" s="20"/>
      <c r="E704" s="2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7"/>
      <c r="D705" s="20"/>
      <c r="E705" s="2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7"/>
      <c r="D706" s="20"/>
      <c r="E706" s="2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7"/>
      <c r="D707" s="20"/>
      <c r="E707" s="2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7"/>
      <c r="D708" s="20"/>
      <c r="E708" s="2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7"/>
      <c r="D709" s="20"/>
      <c r="E709" s="2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7"/>
      <c r="D710" s="20"/>
      <c r="E710" s="2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7"/>
      <c r="D711" s="20"/>
      <c r="E711" s="2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20"/>
      <c r="C712" s="27"/>
      <c r="D712" s="20"/>
      <c r="E712" s="2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20"/>
      <c r="C713" s="27"/>
      <c r="D713" s="20"/>
      <c r="E713" s="2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7"/>
      <c r="D714" s="20"/>
      <c r="E714" s="2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7"/>
      <c r="D715" s="20"/>
      <c r="E715" s="2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7"/>
      <c r="D716" s="20"/>
      <c r="E716" s="2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20"/>
      <c r="C717" s="27"/>
      <c r="D717" s="20"/>
      <c r="E717" s="2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20"/>
      <c r="C718" s="27"/>
      <c r="D718" s="20"/>
      <c r="E718" s="2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7"/>
      <c r="D719" s="20"/>
      <c r="E719" s="2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7"/>
      <c r="D720" s="20"/>
      <c r="E720" s="2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7"/>
      <c r="D721" s="20"/>
      <c r="E721" s="2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7"/>
      <c r="D722" s="20"/>
      <c r="E722" s="2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7"/>
      <c r="D723" s="20"/>
      <c r="E723" s="2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7"/>
      <c r="D724" s="20"/>
      <c r="E724" s="2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7"/>
      <c r="D725" s="20"/>
      <c r="E725" s="2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7"/>
      <c r="D726" s="20"/>
      <c r="E726" s="2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7"/>
      <c r="D727" s="20"/>
      <c r="E727" s="2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7"/>
      <c r="D728" s="20"/>
      <c r="E728" s="2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7"/>
      <c r="D729" s="20"/>
      <c r="E729" s="2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20"/>
      <c r="C730" s="27"/>
      <c r="D730" s="20"/>
      <c r="E730" s="2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20"/>
      <c r="C731" s="27"/>
      <c r="D731" s="20"/>
      <c r="E731" s="2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7"/>
      <c r="D732" s="20"/>
      <c r="E732" s="2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7"/>
      <c r="D733" s="20"/>
      <c r="E733" s="2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7"/>
      <c r="D734" s="20"/>
      <c r="E734" s="2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7"/>
      <c r="D735" s="20"/>
      <c r="E735" s="2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7"/>
      <c r="D736" s="20"/>
      <c r="E736" s="2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7"/>
      <c r="D737" s="20"/>
      <c r="E737" s="2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7"/>
      <c r="D738" s="20"/>
      <c r="E738" s="2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20"/>
      <c r="C739" s="27"/>
      <c r="D739" s="20"/>
      <c r="E739" s="2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7"/>
      <c r="D740" s="20"/>
      <c r="E740" s="2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7"/>
      <c r="D741" s="20"/>
      <c r="E741" s="2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7"/>
      <c r="D742" s="20"/>
      <c r="E742" s="2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20"/>
      <c r="C743" s="27"/>
      <c r="D743" s="20"/>
      <c r="E743" s="2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20"/>
      <c r="C744" s="27"/>
      <c r="D744" s="20"/>
      <c r="E744" s="2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7"/>
      <c r="D745" s="20"/>
      <c r="E745" s="2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7"/>
      <c r="D746" s="20"/>
      <c r="E746" s="2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7"/>
      <c r="D747" s="20"/>
      <c r="E747" s="2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7"/>
      <c r="D748" s="20"/>
      <c r="E748" s="2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7"/>
      <c r="D749" s="20"/>
      <c r="E749" s="2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7"/>
      <c r="D750" s="20"/>
      <c r="E750" s="2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7"/>
      <c r="D751" s="20"/>
      <c r="E751" s="2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7"/>
      <c r="D752" s="20"/>
      <c r="E752" s="2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7"/>
      <c r="D753" s="20"/>
      <c r="E753" s="2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7"/>
      <c r="D754" s="20"/>
      <c r="E754" s="2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7"/>
      <c r="D755" s="20"/>
      <c r="E755" s="2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20"/>
      <c r="C756" s="27"/>
      <c r="D756" s="20"/>
      <c r="E756" s="2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20"/>
      <c r="C757" s="27"/>
      <c r="D757" s="20"/>
      <c r="E757" s="2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20"/>
      <c r="C758" s="27"/>
      <c r="D758" s="20"/>
      <c r="E758" s="2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/>
      <c r="C759" s="27"/>
      <c r="D759" s="20"/>
      <c r="E759" s="2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7"/>
      <c r="D760" s="20"/>
      <c r="E760" s="2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7"/>
      <c r="D761" s="20"/>
      <c r="E761" s="2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20"/>
      <c r="C762" s="27"/>
      <c r="D762" s="20"/>
      <c r="E762" s="2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20"/>
      <c r="C763" s="27"/>
      <c r="D763" s="20"/>
      <c r="E763" s="2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7"/>
      <c r="D764" s="20"/>
      <c r="E764" s="2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7"/>
      <c r="D765" s="20"/>
      <c r="E765" s="2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7"/>
      <c r="D766" s="20"/>
      <c r="E766" s="2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20"/>
      <c r="C767" s="27"/>
      <c r="D767" s="20"/>
      <c r="E767" s="2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7"/>
      <c r="D768" s="20"/>
      <c r="E768" s="2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20"/>
      <c r="C769" s="27"/>
      <c r="D769" s="20"/>
      <c r="E769" s="2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20"/>
      <c r="C770" s="27"/>
      <c r="D770" s="20"/>
      <c r="E770" s="2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7"/>
      <c r="D771" s="20"/>
      <c r="E771" s="2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7"/>
      <c r="D772" s="20"/>
      <c r="E772" s="2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20"/>
      <c r="C773" s="27"/>
      <c r="D773" s="20"/>
      <c r="E773" s="2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20"/>
      <c r="C774" s="27"/>
      <c r="D774" s="20"/>
      <c r="E774" s="2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7"/>
      <c r="D775" s="20"/>
      <c r="E775" s="2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7"/>
      <c r="D776" s="20"/>
      <c r="E776" s="2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7"/>
      <c r="D777" s="20"/>
      <c r="E777" s="2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7"/>
      <c r="D778" s="20"/>
      <c r="E778" s="2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7"/>
      <c r="D779" s="20"/>
      <c r="E779" s="2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7"/>
      <c r="D780" s="20"/>
      <c r="E780" s="2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7"/>
      <c r="D781" s="20"/>
      <c r="E781" s="2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7"/>
      <c r="D782" s="20"/>
      <c r="E782" s="2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20"/>
      <c r="C783" s="27"/>
      <c r="D783" s="20"/>
      <c r="E783" s="2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20"/>
      <c r="C784" s="27"/>
      <c r="D784" s="20"/>
      <c r="E784" s="2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20"/>
      <c r="C785" s="27"/>
      <c r="D785" s="20"/>
      <c r="E785" s="2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20"/>
      <c r="C786" s="27"/>
      <c r="D786" s="20"/>
      <c r="E786" s="2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20"/>
      <c r="C787" s="27"/>
      <c r="D787" s="20"/>
      <c r="E787" s="2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20"/>
      <c r="C788" s="27"/>
      <c r="D788" s="20"/>
      <c r="E788" s="2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20"/>
      <c r="C789" s="27"/>
      <c r="D789" s="20"/>
      <c r="E789" s="2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20"/>
      <c r="C790" s="27"/>
      <c r="D790" s="20"/>
      <c r="E790" s="2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20"/>
      <c r="C791" s="27"/>
      <c r="D791" s="20"/>
      <c r="E791" s="2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20"/>
      <c r="C792" s="27"/>
      <c r="D792" s="20"/>
      <c r="E792" s="2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20"/>
      <c r="C793" s="27"/>
      <c r="D793" s="20"/>
      <c r="E793" s="2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/>
      <c r="C794" s="27"/>
      <c r="D794" s="20"/>
      <c r="E794" s="2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7"/>
      <c r="D795" s="20"/>
      <c r="E795" s="2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20"/>
      <c r="C796" s="27"/>
      <c r="D796" s="20"/>
      <c r="E796" s="2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7"/>
      <c r="D797" s="20"/>
      <c r="E797" s="2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7"/>
      <c r="D798" s="20"/>
      <c r="E798" s="2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7"/>
      <c r="D799" s="20"/>
      <c r="E799" s="2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7"/>
      <c r="D800" s="20"/>
      <c r="E800" s="2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7"/>
      <c r="D801" s="20"/>
      <c r="E801" s="2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7"/>
      <c r="D802" s="20"/>
      <c r="E802" s="2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7"/>
      <c r="D803" s="20"/>
      <c r="E803" s="2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7"/>
      <c r="D804" s="20"/>
      <c r="E804" s="2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20"/>
      <c r="C805" s="27"/>
      <c r="D805" s="20"/>
      <c r="E805" s="2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20"/>
      <c r="C806" s="27"/>
      <c r="D806" s="20"/>
      <c r="E806" s="2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20"/>
      <c r="C807" s="27"/>
      <c r="D807" s="20"/>
      <c r="E807" s="2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20"/>
      <c r="C808" s="27"/>
      <c r="D808" s="20"/>
      <c r="E808" s="2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20"/>
      <c r="C809" s="27"/>
      <c r="D809" s="20"/>
      <c r="E809" s="2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20"/>
      <c r="C810" s="27"/>
      <c r="D810" s="20"/>
      <c r="E810" s="2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20"/>
      <c r="C811" s="27"/>
      <c r="D811" s="20"/>
      <c r="E811" s="2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20"/>
      <c r="C812" s="27"/>
      <c r="D812" s="20"/>
      <c r="E812" s="2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20"/>
      <c r="C813" s="27"/>
      <c r="D813" s="20"/>
      <c r="E813" s="2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20"/>
      <c r="C814" s="27"/>
      <c r="D814" s="20"/>
      <c r="E814" s="2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20"/>
      <c r="C815" s="27"/>
      <c r="D815" s="20"/>
      <c r="E815" s="2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20"/>
      <c r="C816" s="27"/>
      <c r="D816" s="20"/>
      <c r="E816" s="2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20"/>
      <c r="C817" s="27"/>
      <c r="D817" s="20"/>
      <c r="E817" s="2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20"/>
      <c r="C818" s="27"/>
      <c r="D818" s="20"/>
      <c r="E818" s="2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20"/>
      <c r="C819" s="27"/>
      <c r="D819" s="20"/>
      <c r="E819" s="2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20"/>
      <c r="C820" s="27"/>
      <c r="D820" s="20"/>
      <c r="E820" s="2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20"/>
      <c r="C821" s="27"/>
      <c r="D821" s="20"/>
      <c r="E821" s="2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20"/>
      <c r="C822" s="27"/>
      <c r="D822" s="20"/>
      <c r="E822" s="2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20"/>
      <c r="C823" s="27"/>
      <c r="D823" s="20"/>
      <c r="E823" s="2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20"/>
      <c r="C824" s="27"/>
      <c r="D824" s="20"/>
      <c r="E824" s="2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20"/>
      <c r="C825" s="27"/>
      <c r="D825" s="20"/>
      <c r="E825" s="2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20"/>
      <c r="C826" s="27"/>
      <c r="D826" s="20"/>
      <c r="E826" s="2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20"/>
      <c r="C827" s="27"/>
      <c r="D827" s="20"/>
      <c r="E827" s="2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20"/>
      <c r="C828" s="27"/>
      <c r="D828" s="20"/>
      <c r="E828" s="2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20"/>
      <c r="C829" s="27"/>
      <c r="D829" s="20"/>
      <c r="E829" s="2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20"/>
      <c r="C830" s="27"/>
      <c r="D830" s="20"/>
      <c r="E830" s="2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20"/>
      <c r="C831" s="27"/>
      <c r="D831" s="20"/>
      <c r="E831" s="2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20"/>
      <c r="C832" s="27"/>
      <c r="D832" s="20"/>
      <c r="E832" s="2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20"/>
      <c r="C833" s="27"/>
      <c r="D833" s="20"/>
      <c r="E833" s="2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20"/>
      <c r="C834" s="27"/>
      <c r="D834" s="20"/>
      <c r="E834" s="2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20"/>
      <c r="C835" s="27"/>
      <c r="D835" s="20"/>
      <c r="E835" s="2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20"/>
      <c r="C836" s="27"/>
      <c r="D836" s="20"/>
      <c r="E836" s="2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20"/>
      <c r="C837" s="27"/>
      <c r="D837" s="20"/>
      <c r="E837" s="2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20"/>
      <c r="C838" s="27"/>
      <c r="D838" s="20"/>
      <c r="E838" s="2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20"/>
      <c r="C839" s="27"/>
      <c r="D839" s="20"/>
      <c r="E839" s="2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20"/>
      <c r="C840" s="27"/>
      <c r="D840" s="20"/>
      <c r="E840" s="2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20"/>
      <c r="C841" s="27"/>
      <c r="D841" s="20"/>
      <c r="E841" s="2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20"/>
      <c r="C842" s="27"/>
      <c r="D842" s="20"/>
      <c r="E842" s="2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20"/>
      <c r="C843" s="27"/>
      <c r="D843" s="20"/>
      <c r="E843" s="2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20"/>
      <c r="C844" s="27"/>
      <c r="D844" s="20"/>
      <c r="E844" s="2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20"/>
      <c r="C845" s="27"/>
      <c r="D845" s="20"/>
      <c r="E845" s="2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20"/>
      <c r="C846" s="27"/>
      <c r="D846" s="20"/>
      <c r="E846" s="2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20"/>
      <c r="C847" s="27"/>
      <c r="D847" s="20"/>
      <c r="E847" s="2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20"/>
      <c r="C848" s="27"/>
      <c r="D848" s="20"/>
      <c r="E848" s="2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20"/>
      <c r="C849" s="27"/>
      <c r="D849" s="20"/>
      <c r="E849" s="2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20"/>
      <c r="C850" s="27"/>
      <c r="D850" s="20"/>
      <c r="E850" s="2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20"/>
      <c r="C851" s="27"/>
      <c r="D851" s="20"/>
      <c r="E851" s="2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20"/>
      <c r="C852" s="27"/>
      <c r="D852" s="20"/>
      <c r="E852" s="2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20"/>
      <c r="C853" s="27"/>
      <c r="D853" s="20"/>
      <c r="E853" s="2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20"/>
      <c r="C854" s="27"/>
      <c r="D854" s="20"/>
      <c r="E854" s="2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20"/>
      <c r="C855" s="27"/>
      <c r="D855" s="20"/>
      <c r="E855" s="2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20"/>
      <c r="C856" s="27"/>
      <c r="D856" s="20"/>
      <c r="E856" s="2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20"/>
      <c r="C857" s="27"/>
      <c r="D857" s="20"/>
      <c r="E857" s="2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20"/>
      <c r="C858" s="27"/>
      <c r="D858" s="20"/>
      <c r="E858" s="2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20"/>
      <c r="C859" s="27"/>
      <c r="D859" s="20"/>
      <c r="E859" s="2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20"/>
      <c r="C860" s="27"/>
      <c r="D860" s="20"/>
      <c r="E860" s="2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20"/>
      <c r="C861" s="27"/>
      <c r="D861" s="20"/>
      <c r="E861" s="2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20"/>
      <c r="C862" s="27"/>
      <c r="D862" s="20"/>
      <c r="E862" s="2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20"/>
      <c r="C863" s="27"/>
      <c r="D863" s="20"/>
      <c r="E863" s="2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20"/>
      <c r="C864" s="27"/>
      <c r="D864" s="20"/>
      <c r="E864" s="2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20"/>
      <c r="C865" s="27"/>
      <c r="D865" s="20"/>
      <c r="E865" s="2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20"/>
      <c r="C866" s="27"/>
      <c r="D866" s="20"/>
      <c r="E866" s="2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20"/>
      <c r="C867" s="27"/>
      <c r="D867" s="20"/>
      <c r="E867" s="2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20"/>
      <c r="C868" s="27"/>
      <c r="D868" s="20"/>
      <c r="E868" s="2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20"/>
      <c r="C869" s="27"/>
      <c r="D869" s="20"/>
      <c r="E869" s="2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20"/>
      <c r="C870" s="27"/>
      <c r="D870" s="20"/>
      <c r="E870" s="2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20"/>
      <c r="C871" s="27"/>
      <c r="D871" s="20"/>
      <c r="E871" s="2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20"/>
      <c r="C872" s="27"/>
      <c r="D872" s="20"/>
      <c r="E872" s="2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20"/>
      <c r="C873" s="27"/>
      <c r="D873" s="20"/>
      <c r="E873" s="2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20"/>
      <c r="C874" s="27"/>
      <c r="D874" s="20"/>
      <c r="E874" s="2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20"/>
      <c r="C875" s="27"/>
      <c r="D875" s="20"/>
      <c r="E875" s="2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20"/>
      <c r="C876" s="27"/>
      <c r="D876" s="20"/>
      <c r="E876" s="2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20"/>
      <c r="C877" s="27"/>
      <c r="D877" s="20"/>
      <c r="E877" s="2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20"/>
      <c r="C878" s="27"/>
      <c r="D878" s="20"/>
      <c r="E878" s="2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20"/>
      <c r="C879" s="27"/>
      <c r="D879" s="20"/>
      <c r="E879" s="2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20"/>
      <c r="C880" s="27"/>
      <c r="D880" s="20"/>
      <c r="E880" s="2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20"/>
      <c r="C881" s="27"/>
      <c r="D881" s="20"/>
      <c r="E881" s="2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20"/>
      <c r="C882" s="27"/>
      <c r="D882" s="20"/>
      <c r="E882" s="2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20"/>
      <c r="C883" s="27"/>
      <c r="D883" s="20"/>
      <c r="E883" s="2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20"/>
      <c r="C884" s="27"/>
      <c r="D884" s="20"/>
      <c r="E884" s="2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20"/>
      <c r="C885" s="27"/>
      <c r="D885" s="20"/>
      <c r="E885" s="2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20"/>
      <c r="C886" s="27"/>
      <c r="D886" s="20"/>
      <c r="E886" s="2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20"/>
      <c r="C887" s="27"/>
      <c r="D887" s="20"/>
      <c r="E887" s="2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20"/>
      <c r="C888" s="27"/>
      <c r="D888" s="20"/>
      <c r="E888" s="2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20"/>
      <c r="C889" s="27"/>
      <c r="D889" s="20"/>
      <c r="E889" s="2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20"/>
      <c r="C890" s="27"/>
      <c r="D890" s="20"/>
      <c r="E890" s="2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20"/>
      <c r="C891" s="27"/>
      <c r="D891" s="20"/>
      <c r="E891" s="2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20"/>
      <c r="C892" s="27"/>
      <c r="D892" s="20"/>
      <c r="E892" s="2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20"/>
      <c r="C893" s="27"/>
      <c r="D893" s="20"/>
      <c r="E893" s="2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20"/>
      <c r="C894" s="27"/>
      <c r="D894" s="20"/>
      <c r="E894" s="2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20"/>
      <c r="C895" s="27"/>
      <c r="D895" s="20"/>
      <c r="E895" s="2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20"/>
      <c r="C896" s="27"/>
      <c r="D896" s="20"/>
      <c r="E896" s="2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20"/>
      <c r="C897" s="27"/>
      <c r="D897" s="20"/>
      <c r="E897" s="2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20"/>
      <c r="C898" s="27"/>
      <c r="D898" s="20"/>
      <c r="E898" s="2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20"/>
      <c r="C899" s="27"/>
      <c r="D899" s="20"/>
      <c r="E899" s="2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20"/>
      <c r="C900" s="27"/>
      <c r="D900" s="20"/>
      <c r="E900" s="2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20"/>
      <c r="C901" s="27"/>
      <c r="D901" s="20"/>
      <c r="E901" s="2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20"/>
      <c r="C902" s="27"/>
      <c r="D902" s="20"/>
      <c r="E902" s="2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20"/>
      <c r="C903" s="27"/>
      <c r="D903" s="20"/>
      <c r="E903" s="2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20"/>
      <c r="C904" s="27"/>
      <c r="D904" s="20"/>
      <c r="E904" s="2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20"/>
      <c r="C905" s="27"/>
      <c r="D905" s="20"/>
      <c r="E905" s="2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20"/>
      <c r="C906" s="27"/>
      <c r="D906" s="20"/>
      <c r="E906" s="2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20"/>
      <c r="C907" s="27"/>
      <c r="D907" s="20"/>
      <c r="E907" s="2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20"/>
      <c r="C908" s="27"/>
      <c r="D908" s="20"/>
      <c r="E908" s="2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20"/>
      <c r="C909" s="27"/>
      <c r="D909" s="20"/>
      <c r="E909" s="2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20"/>
      <c r="C910" s="27"/>
      <c r="D910" s="20"/>
      <c r="E910" s="2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20"/>
      <c r="C911" s="27"/>
      <c r="D911" s="20"/>
      <c r="E911" s="2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20"/>
      <c r="C912" s="27"/>
      <c r="D912" s="20"/>
      <c r="E912" s="2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20"/>
      <c r="C913" s="27"/>
      <c r="D913" s="20"/>
      <c r="E913" s="2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20"/>
      <c r="C914" s="27"/>
      <c r="D914" s="20"/>
      <c r="E914" s="2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20"/>
      <c r="C915" s="27"/>
      <c r="D915" s="20"/>
      <c r="E915" s="2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20"/>
      <c r="C916" s="27"/>
      <c r="D916" s="20"/>
      <c r="E916" s="2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20"/>
      <c r="C917" s="27"/>
      <c r="D917" s="20"/>
      <c r="E917" s="2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20"/>
      <c r="C918" s="27"/>
      <c r="D918" s="20"/>
      <c r="E918" s="2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20"/>
      <c r="C919" s="27"/>
      <c r="D919" s="20"/>
      <c r="E919" s="2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20"/>
      <c r="C920" s="27"/>
      <c r="D920" s="20"/>
      <c r="E920" s="2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20"/>
      <c r="C921" s="27"/>
      <c r="D921" s="20"/>
      <c r="E921" s="2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20"/>
      <c r="C922" s="27"/>
      <c r="D922" s="20"/>
      <c r="E922" s="2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20"/>
      <c r="C923" s="27"/>
      <c r="D923" s="20"/>
      <c r="E923" s="2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20"/>
      <c r="C924" s="27"/>
      <c r="D924" s="20"/>
      <c r="E924" s="2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20"/>
      <c r="C925" s="27"/>
      <c r="D925" s="20"/>
      <c r="E925" s="2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20"/>
      <c r="C926" s="27"/>
      <c r="D926" s="20"/>
      <c r="E926" s="2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20"/>
      <c r="C927" s="27"/>
      <c r="D927" s="20"/>
      <c r="E927" s="2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20"/>
      <c r="C928" s="27"/>
      <c r="D928" s="20"/>
      <c r="E928" s="2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20"/>
      <c r="C929" s="27"/>
      <c r="D929" s="20"/>
      <c r="E929" s="2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20"/>
      <c r="C930" s="27"/>
      <c r="D930" s="20"/>
      <c r="E930" s="2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20"/>
      <c r="C931" s="27"/>
      <c r="D931" s="20"/>
      <c r="E931" s="2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20"/>
      <c r="C932" s="27"/>
      <c r="D932" s="20"/>
      <c r="E932" s="2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20"/>
      <c r="C933" s="27"/>
      <c r="D933" s="20"/>
      <c r="E933" s="2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20"/>
      <c r="C934" s="27"/>
      <c r="D934" s="20"/>
      <c r="E934" s="2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20"/>
      <c r="C935" s="27"/>
      <c r="D935" s="20"/>
      <c r="E935" s="2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20"/>
      <c r="C936" s="27"/>
      <c r="D936" s="20"/>
      <c r="E936" s="2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20"/>
      <c r="C937" s="27"/>
      <c r="D937" s="20"/>
      <c r="E937" s="2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20"/>
      <c r="C938" s="27"/>
      <c r="D938" s="20"/>
      <c r="E938" s="2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20"/>
      <c r="C939" s="27"/>
      <c r="D939" s="20"/>
      <c r="E939" s="2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20"/>
      <c r="C940" s="27"/>
      <c r="D940" s="20"/>
      <c r="E940" s="2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20"/>
      <c r="C941" s="27"/>
      <c r="D941" s="20"/>
      <c r="E941" s="2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20"/>
      <c r="C942" s="27"/>
      <c r="D942" s="20"/>
      <c r="E942" s="2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20"/>
      <c r="C943" s="27"/>
      <c r="D943" s="20"/>
      <c r="E943" s="2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20"/>
      <c r="C944" s="27"/>
      <c r="D944" s="20"/>
      <c r="E944" s="2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20"/>
      <c r="C945" s="27"/>
      <c r="D945" s="20"/>
      <c r="E945" s="2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20"/>
      <c r="C946" s="27"/>
      <c r="D946" s="20"/>
      <c r="E946" s="2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20"/>
      <c r="C947" s="27"/>
      <c r="D947" s="20"/>
      <c r="E947" s="2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20"/>
      <c r="C948" s="27"/>
      <c r="D948" s="20"/>
      <c r="E948" s="2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20"/>
      <c r="C949" s="27"/>
      <c r="D949" s="20"/>
      <c r="E949" s="2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20"/>
      <c r="C950" s="27"/>
      <c r="D950" s="20"/>
      <c r="E950" s="2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20"/>
      <c r="C951" s="27"/>
      <c r="D951" s="20"/>
      <c r="E951" s="2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20"/>
      <c r="C952" s="27"/>
      <c r="D952" s="20"/>
      <c r="E952" s="2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20"/>
      <c r="C953" s="27"/>
      <c r="D953" s="20"/>
      <c r="E953" s="2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20"/>
      <c r="C954" s="27"/>
      <c r="D954" s="20"/>
      <c r="E954" s="2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20"/>
      <c r="C955" s="27"/>
      <c r="D955" s="20"/>
      <c r="E955" s="2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20"/>
      <c r="C956" s="27"/>
      <c r="D956" s="20"/>
      <c r="E956" s="2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20"/>
      <c r="C957" s="27"/>
      <c r="D957" s="20"/>
      <c r="E957" s="2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20"/>
      <c r="C958" s="27"/>
      <c r="D958" s="20"/>
      <c r="E958" s="2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20"/>
      <c r="C959" s="27"/>
      <c r="D959" s="20"/>
      <c r="E959" s="2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20"/>
      <c r="C960" s="27"/>
      <c r="D960" s="20"/>
      <c r="E960" s="2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20"/>
      <c r="C961" s="27"/>
      <c r="D961" s="20"/>
      <c r="E961" s="2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20"/>
      <c r="C962" s="27"/>
      <c r="D962" s="20"/>
      <c r="E962" s="2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20"/>
      <c r="C963" s="27"/>
      <c r="D963" s="20"/>
      <c r="E963" s="2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20"/>
      <c r="C964" s="27"/>
      <c r="D964" s="20"/>
      <c r="E964" s="2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20"/>
      <c r="C965" s="27"/>
      <c r="D965" s="20"/>
      <c r="E965" s="2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20"/>
      <c r="C966" s="27"/>
      <c r="D966" s="20"/>
      <c r="E966" s="2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20"/>
      <c r="C967" s="27"/>
      <c r="D967" s="20"/>
      <c r="E967" s="2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20"/>
      <c r="C968" s="27"/>
      <c r="D968" s="20"/>
      <c r="E968" s="2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20"/>
      <c r="C969" s="27"/>
      <c r="D969" s="20"/>
      <c r="E969" s="2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20"/>
      <c r="C970" s="27"/>
      <c r="D970" s="20"/>
      <c r="E970" s="2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20"/>
      <c r="C971" s="27"/>
      <c r="D971" s="20"/>
      <c r="E971" s="2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20"/>
      <c r="C972" s="27"/>
      <c r="D972" s="20"/>
      <c r="E972" s="2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20"/>
      <c r="C973" s="27"/>
      <c r="D973" s="20"/>
      <c r="E973" s="2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20"/>
      <c r="C974" s="27"/>
      <c r="D974" s="20"/>
      <c r="E974" s="2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20"/>
      <c r="C975" s="27"/>
      <c r="D975" s="20"/>
      <c r="E975" s="2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20"/>
      <c r="C976" s="27"/>
      <c r="D976" s="20"/>
      <c r="E976" s="2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20"/>
      <c r="C977" s="27"/>
      <c r="D977" s="20"/>
      <c r="E977" s="2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20"/>
      <c r="C978" s="27"/>
      <c r="D978" s="20"/>
      <c r="E978" s="2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</sheetData>
  <autoFilter ref="$A$1:$AB$978">
    <sortState ref="A1:AB978">
      <sortCondition ref="C1:C978"/>
    </sortState>
  </autoFilter>
  <dataValidations>
    <dataValidation type="list" allowBlank="1" showErrorMessage="1" sqref="B2:B25">
      <formula1>"기능개발,버그개선,제휴,내부개선,기술과제,마케팅,광고매출,매장확대"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27.63"/>
    <col customWidth="1" min="4" max="4" width="23.75"/>
    <col customWidth="1" min="5" max="5" width="38.13"/>
    <col customWidth="1" min="6" max="6" width="11.88"/>
    <col customWidth="1" min="7" max="7" width="14.63"/>
    <col customWidth="1" min="18" max="18" width="2.63"/>
  </cols>
  <sheetData>
    <row r="1">
      <c r="A1" s="28"/>
      <c r="B1" s="28"/>
      <c r="C1" s="28"/>
      <c r="D1" s="28"/>
      <c r="E1" s="28"/>
      <c r="F1" s="28"/>
      <c r="G1" s="28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>
      <c r="A2" s="30"/>
      <c r="B2" s="31" t="s">
        <v>77</v>
      </c>
      <c r="C2" s="32" t="s">
        <v>78</v>
      </c>
      <c r="D2" s="33" t="s">
        <v>79</v>
      </c>
      <c r="E2" s="34" t="s">
        <v>80</v>
      </c>
      <c r="F2" s="35" t="s">
        <v>81</v>
      </c>
      <c r="G2" s="35" t="s">
        <v>82</v>
      </c>
      <c r="H2" s="36" t="s">
        <v>83</v>
      </c>
      <c r="I2" s="37"/>
      <c r="J2" s="37"/>
      <c r="K2" s="37"/>
      <c r="L2" s="37"/>
      <c r="M2" s="37"/>
      <c r="N2" s="37"/>
      <c r="O2" s="37"/>
      <c r="P2" s="37"/>
      <c r="Q2" s="38"/>
      <c r="R2" s="39"/>
    </row>
    <row r="3">
      <c r="A3" s="30"/>
      <c r="B3" s="40"/>
      <c r="C3" s="41"/>
      <c r="D3" s="42"/>
      <c r="E3" s="43"/>
      <c r="F3" s="40"/>
      <c r="G3" s="40"/>
      <c r="H3" s="44" t="s">
        <v>84</v>
      </c>
      <c r="I3" s="45" t="s">
        <v>85</v>
      </c>
      <c r="J3" s="45" t="s">
        <v>86</v>
      </c>
      <c r="K3" s="45" t="s">
        <v>87</v>
      </c>
      <c r="L3" s="45" t="s">
        <v>88</v>
      </c>
      <c r="M3" s="45" t="s">
        <v>89</v>
      </c>
      <c r="N3" s="45" t="s">
        <v>90</v>
      </c>
      <c r="O3" s="45" t="s">
        <v>91</v>
      </c>
      <c r="P3" s="45" t="s">
        <v>92</v>
      </c>
      <c r="Q3" s="46" t="s">
        <v>93</v>
      </c>
      <c r="R3" s="29"/>
    </row>
    <row r="4">
      <c r="A4" s="39"/>
      <c r="B4" s="47" t="s">
        <v>94</v>
      </c>
      <c r="C4" s="48" t="s">
        <v>95</v>
      </c>
      <c r="D4" s="49"/>
      <c r="E4" s="50"/>
      <c r="F4" s="47"/>
      <c r="G4" s="47"/>
      <c r="H4" s="51"/>
      <c r="I4" s="29"/>
      <c r="J4" s="29"/>
      <c r="K4" s="29"/>
      <c r="L4" s="29"/>
      <c r="M4" s="29"/>
      <c r="N4" s="29"/>
      <c r="O4" s="29"/>
      <c r="P4" s="29"/>
      <c r="Q4" s="52"/>
      <c r="R4" s="29"/>
    </row>
    <row r="5">
      <c r="A5" s="39"/>
      <c r="B5" s="40"/>
      <c r="C5" s="53" t="s">
        <v>96</v>
      </c>
      <c r="D5" s="54"/>
      <c r="E5" s="55"/>
      <c r="F5" s="47"/>
      <c r="G5" s="47"/>
      <c r="H5" s="51"/>
      <c r="I5" s="29"/>
      <c r="J5" s="29"/>
      <c r="K5" s="29"/>
      <c r="L5" s="29"/>
      <c r="M5" s="29"/>
      <c r="N5" s="29"/>
      <c r="O5" s="29"/>
      <c r="P5" s="29"/>
      <c r="Q5" s="52"/>
      <c r="R5" s="29"/>
    </row>
    <row r="6">
      <c r="A6" s="39"/>
      <c r="B6" s="47" t="s">
        <v>95</v>
      </c>
      <c r="C6" s="56" t="s">
        <v>62</v>
      </c>
      <c r="D6" s="57" t="s">
        <v>97</v>
      </c>
      <c r="E6" s="58" t="s">
        <v>98</v>
      </c>
      <c r="F6" s="59"/>
      <c r="G6" s="59"/>
      <c r="H6" s="51"/>
      <c r="I6" s="29"/>
      <c r="J6" s="29"/>
      <c r="K6" s="29"/>
      <c r="L6" s="29"/>
      <c r="M6" s="29"/>
      <c r="N6" s="29"/>
      <c r="O6" s="29"/>
      <c r="P6" s="29"/>
      <c r="Q6" s="52"/>
      <c r="R6" s="29"/>
    </row>
    <row r="7">
      <c r="A7" s="39"/>
      <c r="B7" s="60"/>
      <c r="C7" s="61"/>
      <c r="D7" s="62" t="s">
        <v>99</v>
      </c>
      <c r="E7" s="58" t="s">
        <v>100</v>
      </c>
      <c r="F7" s="63"/>
      <c r="G7" s="63"/>
      <c r="H7" s="51"/>
      <c r="I7" s="29"/>
      <c r="J7" s="29"/>
      <c r="K7" s="29"/>
      <c r="L7" s="29"/>
      <c r="M7" s="29"/>
      <c r="N7" s="29"/>
      <c r="O7" s="29"/>
      <c r="P7" s="29"/>
      <c r="Q7" s="52"/>
      <c r="R7" s="29"/>
    </row>
    <row r="8">
      <c r="A8" s="39"/>
      <c r="B8" s="60"/>
      <c r="C8" s="61"/>
      <c r="D8" s="62" t="s">
        <v>101</v>
      </c>
      <c r="E8" s="58" t="s">
        <v>102</v>
      </c>
      <c r="F8" s="63"/>
      <c r="G8" s="63"/>
      <c r="H8" s="51"/>
      <c r="I8" s="29"/>
      <c r="J8" s="29"/>
      <c r="K8" s="29"/>
      <c r="L8" s="29"/>
      <c r="M8" s="29"/>
      <c r="N8" s="29"/>
      <c r="O8" s="29"/>
      <c r="P8" s="29"/>
      <c r="Q8" s="52"/>
      <c r="R8" s="29"/>
    </row>
    <row r="9">
      <c r="A9" s="39"/>
      <c r="B9" s="60"/>
      <c r="C9" s="61"/>
      <c r="D9" s="64" t="s">
        <v>103</v>
      </c>
      <c r="E9" s="65" t="s">
        <v>104</v>
      </c>
      <c r="F9" s="59"/>
      <c r="G9" s="59"/>
      <c r="H9" s="51"/>
      <c r="I9" s="29"/>
      <c r="J9" s="29"/>
      <c r="K9" s="29"/>
      <c r="L9" s="29"/>
      <c r="M9" s="29"/>
      <c r="N9" s="29"/>
      <c r="O9" s="29"/>
      <c r="P9" s="29"/>
      <c r="Q9" s="52"/>
      <c r="R9" s="29"/>
    </row>
    <row r="10">
      <c r="A10" s="39"/>
      <c r="B10" s="60"/>
      <c r="C10" s="61"/>
      <c r="D10" s="62" t="s">
        <v>105</v>
      </c>
      <c r="E10" s="58" t="s">
        <v>106</v>
      </c>
      <c r="F10" s="63"/>
      <c r="G10" s="63"/>
      <c r="H10" s="66"/>
      <c r="I10" s="29"/>
      <c r="J10" s="29"/>
      <c r="K10" s="29"/>
      <c r="L10" s="29"/>
      <c r="M10" s="29"/>
      <c r="N10" s="29"/>
      <c r="O10" s="29"/>
      <c r="P10" s="29"/>
      <c r="Q10" s="52"/>
      <c r="R10" s="29"/>
    </row>
    <row r="11">
      <c r="A11" s="39"/>
      <c r="B11" s="60"/>
      <c r="C11" s="61"/>
      <c r="D11" s="62" t="s">
        <v>99</v>
      </c>
      <c r="E11" s="58" t="s">
        <v>107</v>
      </c>
      <c r="F11" s="63"/>
      <c r="G11" s="63"/>
      <c r="H11" s="51"/>
      <c r="I11" s="29"/>
      <c r="J11" s="29"/>
      <c r="K11" s="29"/>
      <c r="L11" s="29"/>
      <c r="M11" s="29"/>
      <c r="N11" s="29"/>
      <c r="O11" s="29"/>
      <c r="P11" s="29"/>
      <c r="Q11" s="52"/>
      <c r="R11" s="29"/>
    </row>
    <row r="12">
      <c r="A12" s="39"/>
      <c r="B12" s="60"/>
      <c r="C12" s="61"/>
      <c r="D12" s="62" t="s">
        <v>108</v>
      </c>
      <c r="E12" s="67" t="s">
        <v>109</v>
      </c>
      <c r="F12" s="68"/>
      <c r="G12" s="68"/>
      <c r="H12" s="51"/>
      <c r="I12" s="29"/>
      <c r="J12" s="29"/>
      <c r="K12" s="29"/>
      <c r="L12" s="29"/>
      <c r="M12" s="29"/>
      <c r="N12" s="29"/>
      <c r="O12" s="29"/>
      <c r="P12" s="29"/>
      <c r="Q12" s="52"/>
      <c r="R12" s="29"/>
    </row>
    <row r="13">
      <c r="A13" s="39"/>
      <c r="B13" s="60"/>
      <c r="C13" s="61"/>
      <c r="D13" s="62" t="s">
        <v>110</v>
      </c>
      <c r="E13" s="58" t="s">
        <v>111</v>
      </c>
      <c r="F13" s="63"/>
      <c r="G13" s="63"/>
      <c r="H13" s="51"/>
      <c r="I13" s="29"/>
      <c r="J13" s="29"/>
      <c r="K13" s="29"/>
      <c r="L13" s="29"/>
      <c r="M13" s="29"/>
      <c r="N13" s="29"/>
      <c r="O13" s="29"/>
      <c r="P13" s="29"/>
      <c r="Q13" s="52"/>
      <c r="R13" s="29"/>
    </row>
    <row r="14">
      <c r="A14" s="39"/>
      <c r="B14" s="60"/>
      <c r="C14" s="69" t="s">
        <v>63</v>
      </c>
      <c r="D14" s="64" t="s">
        <v>112</v>
      </c>
      <c r="E14" s="70" t="s">
        <v>113</v>
      </c>
      <c r="F14" s="71"/>
      <c r="G14" s="71"/>
      <c r="H14" s="51"/>
      <c r="I14" s="29"/>
      <c r="J14" s="29"/>
      <c r="K14" s="29"/>
      <c r="L14" s="29"/>
      <c r="M14" s="29"/>
      <c r="N14" s="29"/>
      <c r="O14" s="29"/>
      <c r="P14" s="29"/>
      <c r="Q14" s="52"/>
      <c r="R14" s="29"/>
    </row>
    <row r="15">
      <c r="A15" s="39"/>
      <c r="B15" s="60"/>
      <c r="C15" s="61"/>
      <c r="D15" s="72"/>
      <c r="E15" s="70" t="s">
        <v>114</v>
      </c>
      <c r="F15" s="71"/>
      <c r="G15" s="71"/>
      <c r="H15" s="51"/>
      <c r="I15" s="29"/>
      <c r="J15" s="29"/>
      <c r="K15" s="29"/>
      <c r="L15" s="29"/>
      <c r="M15" s="29"/>
      <c r="N15" s="29"/>
      <c r="O15" s="29"/>
      <c r="P15" s="29"/>
      <c r="Q15" s="52"/>
      <c r="R15" s="29"/>
    </row>
    <row r="16">
      <c r="A16" s="39"/>
      <c r="B16" s="60"/>
      <c r="C16" s="61"/>
      <c r="D16" s="72"/>
      <c r="E16" s="58" t="s">
        <v>115</v>
      </c>
      <c r="F16" s="63"/>
      <c r="G16" s="63"/>
      <c r="H16" s="51"/>
      <c r="I16" s="29"/>
      <c r="J16" s="29"/>
      <c r="K16" s="29"/>
      <c r="L16" s="29"/>
      <c r="M16" s="29"/>
      <c r="N16" s="29"/>
      <c r="O16" s="29"/>
      <c r="P16" s="29"/>
      <c r="Q16" s="52"/>
      <c r="R16" s="29"/>
    </row>
    <row r="17">
      <c r="A17" s="39"/>
      <c r="B17" s="60"/>
      <c r="C17" s="61"/>
      <c r="D17" s="72"/>
      <c r="E17" s="58" t="s">
        <v>116</v>
      </c>
      <c r="F17" s="63"/>
      <c r="G17" s="63"/>
      <c r="H17" s="51"/>
      <c r="I17" s="29"/>
      <c r="J17" s="29"/>
      <c r="K17" s="29"/>
      <c r="L17" s="29"/>
      <c r="M17" s="29"/>
      <c r="N17" s="29"/>
      <c r="O17" s="29"/>
      <c r="P17" s="29"/>
      <c r="Q17" s="52"/>
      <c r="R17" s="29"/>
    </row>
    <row r="18">
      <c r="A18" s="39"/>
      <c r="B18" s="60"/>
      <c r="C18" s="61"/>
      <c r="D18" s="72"/>
      <c r="E18" s="70" t="s">
        <v>117</v>
      </c>
      <c r="F18" s="71"/>
      <c r="G18" s="71"/>
      <c r="H18" s="51"/>
      <c r="I18" s="29"/>
      <c r="J18" s="29"/>
      <c r="K18" s="29"/>
      <c r="L18" s="29"/>
      <c r="M18" s="29"/>
      <c r="N18" s="29"/>
      <c r="O18" s="29"/>
      <c r="P18" s="29"/>
      <c r="Q18" s="52"/>
      <c r="R18" s="29"/>
    </row>
    <row r="19">
      <c r="A19" s="39"/>
      <c r="B19" s="60"/>
      <c r="C19" s="61"/>
      <c r="D19" s="72"/>
      <c r="E19" s="58" t="s">
        <v>118</v>
      </c>
      <c r="F19" s="63"/>
      <c r="G19" s="63"/>
      <c r="H19" s="51"/>
      <c r="I19" s="29"/>
      <c r="J19" s="29"/>
      <c r="K19" s="29"/>
      <c r="L19" s="29"/>
      <c r="M19" s="29"/>
      <c r="N19" s="29"/>
      <c r="O19" s="29"/>
      <c r="P19" s="29"/>
      <c r="Q19" s="52"/>
      <c r="R19" s="29"/>
    </row>
    <row r="20">
      <c r="A20" s="39"/>
      <c r="B20" s="60"/>
      <c r="C20" s="61"/>
      <c r="D20" s="72"/>
      <c r="E20" s="58" t="s">
        <v>119</v>
      </c>
      <c r="F20" s="63"/>
      <c r="G20" s="63"/>
      <c r="H20" s="51"/>
      <c r="I20" s="29"/>
      <c r="J20" s="29"/>
      <c r="K20" s="29"/>
      <c r="L20" s="29"/>
      <c r="M20" s="29"/>
      <c r="N20" s="29"/>
      <c r="O20" s="29"/>
      <c r="P20" s="29"/>
      <c r="Q20" s="52"/>
      <c r="R20" s="29"/>
    </row>
    <row r="21">
      <c r="A21" s="39"/>
      <c r="B21" s="60"/>
      <c r="C21" s="61"/>
      <c r="D21" s="72"/>
      <c r="E21" s="70" t="s">
        <v>120</v>
      </c>
      <c r="F21" s="71"/>
      <c r="G21" s="71"/>
      <c r="H21" s="51"/>
      <c r="I21" s="29"/>
      <c r="J21" s="29"/>
      <c r="K21" s="29"/>
      <c r="L21" s="29"/>
      <c r="M21" s="29"/>
      <c r="N21" s="29"/>
      <c r="O21" s="29"/>
      <c r="P21" s="29"/>
      <c r="Q21" s="52"/>
      <c r="R21" s="29"/>
    </row>
    <row r="22">
      <c r="A22" s="39"/>
      <c r="B22" s="60"/>
      <c r="C22" s="73"/>
      <c r="D22" s="74"/>
      <c r="E22" s="75" t="s">
        <v>121</v>
      </c>
      <c r="F22" s="63"/>
      <c r="G22" s="63"/>
      <c r="H22" s="51"/>
      <c r="I22" s="29"/>
      <c r="J22" s="29"/>
      <c r="K22" s="29"/>
      <c r="L22" s="29"/>
      <c r="M22" s="29"/>
      <c r="N22" s="29"/>
      <c r="O22" s="29"/>
      <c r="P22" s="29"/>
      <c r="Q22" s="52"/>
      <c r="R22" s="29"/>
    </row>
    <row r="23">
      <c r="A23" s="39"/>
      <c r="B23" s="60"/>
      <c r="C23" s="69" t="s">
        <v>122</v>
      </c>
      <c r="D23" s="64" t="s">
        <v>123</v>
      </c>
      <c r="E23" s="76" t="s">
        <v>124</v>
      </c>
      <c r="F23" s="71"/>
      <c r="G23" s="71"/>
      <c r="H23" s="51"/>
      <c r="I23" s="29"/>
      <c r="J23" s="29"/>
      <c r="K23" s="29"/>
      <c r="L23" s="29"/>
      <c r="M23" s="29"/>
      <c r="N23" s="29"/>
      <c r="O23" s="29"/>
      <c r="P23" s="29"/>
      <c r="Q23" s="52"/>
      <c r="R23" s="29"/>
    </row>
    <row r="24">
      <c r="A24" s="39"/>
      <c r="B24" s="60"/>
      <c r="C24" s="61"/>
      <c r="D24" s="72"/>
      <c r="E24" s="65" t="s">
        <v>125</v>
      </c>
      <c r="F24" s="63"/>
      <c r="G24" s="63"/>
      <c r="H24" s="51"/>
      <c r="I24" s="29"/>
      <c r="J24" s="29"/>
      <c r="K24" s="29"/>
      <c r="L24" s="29"/>
      <c r="M24" s="29"/>
      <c r="N24" s="29"/>
      <c r="O24" s="29"/>
      <c r="P24" s="29"/>
      <c r="Q24" s="52"/>
      <c r="R24" s="29"/>
    </row>
    <row r="25">
      <c r="A25" s="39"/>
      <c r="B25" s="60"/>
      <c r="C25" s="61"/>
      <c r="D25" s="72"/>
      <c r="E25" s="75" t="s">
        <v>126</v>
      </c>
      <c r="F25" s="63"/>
      <c r="G25" s="63"/>
      <c r="H25" s="51"/>
      <c r="I25" s="29"/>
      <c r="J25" s="29"/>
      <c r="K25" s="29"/>
      <c r="L25" s="29"/>
      <c r="M25" s="29"/>
      <c r="N25" s="29"/>
      <c r="O25" s="29"/>
      <c r="P25" s="29"/>
      <c r="Q25" s="52"/>
      <c r="R25" s="29"/>
    </row>
    <row r="26">
      <c r="A26" s="39"/>
      <c r="B26" s="60"/>
      <c r="C26" s="61"/>
      <c r="D26" s="72"/>
      <c r="E26" s="76" t="s">
        <v>127</v>
      </c>
      <c r="F26" s="71"/>
      <c r="G26" s="71"/>
      <c r="H26" s="51"/>
      <c r="I26" s="29"/>
      <c r="J26" s="29"/>
      <c r="L26" s="29"/>
      <c r="M26" s="29"/>
      <c r="N26" s="29"/>
      <c r="O26" s="29"/>
      <c r="P26" s="29"/>
      <c r="Q26" s="52"/>
      <c r="R26" s="29"/>
    </row>
    <row r="27">
      <c r="A27" s="39"/>
      <c r="B27" s="60"/>
      <c r="C27" s="61"/>
      <c r="D27" s="72"/>
      <c r="E27" s="65" t="s">
        <v>128</v>
      </c>
      <c r="F27" s="63"/>
      <c r="G27" s="63"/>
      <c r="H27" s="51"/>
      <c r="I27" s="29"/>
      <c r="J27" s="29"/>
      <c r="K27" s="29"/>
      <c r="L27" s="29"/>
      <c r="M27" s="29"/>
      <c r="N27" s="29"/>
      <c r="O27" s="29"/>
      <c r="P27" s="29"/>
      <c r="Q27" s="52"/>
      <c r="R27" s="29"/>
    </row>
    <row r="28">
      <c r="A28" s="39"/>
      <c r="B28" s="60"/>
      <c r="C28" s="61"/>
      <c r="D28" s="72"/>
      <c r="E28" s="58" t="s">
        <v>129</v>
      </c>
      <c r="F28" s="63"/>
      <c r="G28" s="63"/>
      <c r="H28" s="51"/>
      <c r="I28" s="29"/>
      <c r="J28" s="29"/>
      <c r="K28" s="29"/>
      <c r="L28" s="29"/>
      <c r="M28" s="29"/>
      <c r="N28" s="29"/>
      <c r="O28" s="29"/>
      <c r="P28" s="29"/>
      <c r="Q28" s="52"/>
      <c r="R28" s="29"/>
    </row>
    <row r="29">
      <c r="A29" s="39"/>
      <c r="B29" s="60"/>
      <c r="C29" s="73"/>
      <c r="D29" s="74"/>
      <c r="E29" s="75" t="s">
        <v>130</v>
      </c>
      <c r="F29" s="63"/>
      <c r="G29" s="63"/>
      <c r="H29" s="51"/>
      <c r="I29" s="29"/>
      <c r="J29" s="29"/>
      <c r="K29" s="29"/>
      <c r="L29" s="29"/>
      <c r="M29" s="29"/>
      <c r="N29" s="29"/>
      <c r="O29" s="29"/>
      <c r="P29" s="29"/>
      <c r="Q29" s="52"/>
      <c r="R29" s="29"/>
    </row>
    <row r="30">
      <c r="A30" s="39"/>
      <c r="B30" s="60"/>
      <c r="C30" s="77" t="s">
        <v>60</v>
      </c>
      <c r="D30" s="78" t="s">
        <v>131</v>
      </c>
      <c r="E30" s="76" t="s">
        <v>132</v>
      </c>
      <c r="F30" s="71"/>
      <c r="G30" s="71"/>
      <c r="H30" s="79"/>
      <c r="K30" s="29"/>
      <c r="L30" s="29"/>
      <c r="M30" s="29"/>
      <c r="N30" s="29"/>
      <c r="O30" s="29"/>
      <c r="P30" s="29"/>
      <c r="Q30" s="52"/>
      <c r="R30" s="29"/>
    </row>
    <row r="31">
      <c r="A31" s="39"/>
      <c r="B31" s="60"/>
      <c r="C31" s="80"/>
      <c r="D31" s="81"/>
      <c r="E31" s="65" t="s">
        <v>133</v>
      </c>
      <c r="F31" s="63"/>
      <c r="G31" s="63"/>
      <c r="H31" s="79"/>
      <c r="K31" s="29"/>
      <c r="L31" s="29"/>
      <c r="M31" s="29"/>
      <c r="N31" s="29"/>
      <c r="O31" s="29"/>
      <c r="P31" s="29"/>
      <c r="Q31" s="52"/>
      <c r="R31" s="29"/>
    </row>
    <row r="32">
      <c r="A32" s="39"/>
      <c r="B32" s="60"/>
      <c r="C32" s="80"/>
      <c r="D32" s="82" t="s">
        <v>134</v>
      </c>
      <c r="E32" s="76" t="s">
        <v>135</v>
      </c>
      <c r="F32" s="63"/>
      <c r="G32" s="63"/>
      <c r="H32" s="79"/>
      <c r="K32" s="29"/>
      <c r="L32" s="29"/>
      <c r="M32" s="29"/>
      <c r="N32" s="29"/>
      <c r="O32" s="29"/>
      <c r="P32" s="29"/>
      <c r="Q32" s="52"/>
      <c r="R32" s="29"/>
    </row>
    <row r="33">
      <c r="A33" s="39"/>
      <c r="B33" s="60"/>
      <c r="C33" s="80"/>
      <c r="E33" s="65" t="s">
        <v>136</v>
      </c>
      <c r="F33" s="59"/>
      <c r="G33" s="59"/>
      <c r="H33" s="79"/>
      <c r="K33" s="29"/>
      <c r="L33" s="29"/>
      <c r="M33" s="29"/>
      <c r="N33" s="29"/>
      <c r="O33" s="29"/>
      <c r="P33" s="29"/>
      <c r="Q33" s="52"/>
      <c r="R33" s="29"/>
    </row>
    <row r="34">
      <c r="A34" s="39"/>
      <c r="B34" s="60"/>
      <c r="C34" s="80"/>
      <c r="D34" s="81"/>
      <c r="E34" s="75" t="s">
        <v>137</v>
      </c>
      <c r="F34" s="47"/>
      <c r="G34" s="47"/>
      <c r="H34" s="79"/>
      <c r="K34" s="29"/>
      <c r="L34" s="29"/>
      <c r="M34" s="29"/>
      <c r="N34" s="29"/>
      <c r="O34" s="29"/>
      <c r="P34" s="29"/>
      <c r="Q34" s="52"/>
      <c r="R34" s="29"/>
    </row>
    <row r="35">
      <c r="A35" s="39"/>
      <c r="B35" s="60"/>
      <c r="C35" s="80"/>
      <c r="D35" s="78" t="s">
        <v>138</v>
      </c>
      <c r="E35" s="76" t="s">
        <v>139</v>
      </c>
      <c r="F35" s="63"/>
      <c r="G35" s="63"/>
      <c r="H35" s="79"/>
      <c r="K35" s="29"/>
      <c r="L35" s="29"/>
      <c r="M35" s="29"/>
      <c r="N35" s="29"/>
      <c r="O35" s="29"/>
      <c r="P35" s="29"/>
      <c r="Q35" s="52"/>
      <c r="R35" s="29"/>
    </row>
    <row r="36">
      <c r="A36" s="39"/>
      <c r="B36" s="60"/>
      <c r="C36" s="80"/>
      <c r="E36" s="65" t="s">
        <v>136</v>
      </c>
      <c r="F36" s="59"/>
      <c r="G36" s="59"/>
      <c r="H36" s="79"/>
      <c r="K36" s="29"/>
      <c r="L36" s="29"/>
      <c r="M36" s="29"/>
      <c r="N36" s="29"/>
      <c r="O36" s="29"/>
      <c r="P36" s="29"/>
      <c r="Q36" s="52"/>
      <c r="R36" s="29"/>
    </row>
    <row r="37">
      <c r="A37" s="39"/>
      <c r="B37" s="60"/>
      <c r="C37" s="83"/>
      <c r="D37" s="81"/>
      <c r="E37" s="75" t="s">
        <v>137</v>
      </c>
      <c r="F37" s="63"/>
      <c r="G37" s="63"/>
      <c r="H37" s="79"/>
      <c r="K37" s="29"/>
      <c r="L37" s="29"/>
      <c r="M37" s="29"/>
      <c r="N37" s="29"/>
      <c r="O37" s="29"/>
      <c r="P37" s="29"/>
      <c r="Q37" s="52"/>
      <c r="R37" s="29"/>
    </row>
    <row r="38">
      <c r="A38" s="39"/>
      <c r="B38" s="60"/>
      <c r="C38" s="69" t="s">
        <v>58</v>
      </c>
      <c r="D38" s="64" t="s">
        <v>140</v>
      </c>
      <c r="E38" s="70" t="s">
        <v>141</v>
      </c>
      <c r="F38" s="47"/>
      <c r="G38" s="47"/>
      <c r="H38" s="51"/>
      <c r="I38" s="29"/>
      <c r="J38" s="29"/>
      <c r="K38" s="29"/>
      <c r="L38" s="29"/>
      <c r="M38" s="29"/>
      <c r="N38" s="29"/>
      <c r="O38" s="29"/>
      <c r="P38" s="29"/>
      <c r="Q38" s="52"/>
      <c r="R38" s="29"/>
    </row>
    <row r="39">
      <c r="A39" s="39"/>
      <c r="B39" s="60"/>
      <c r="C39" s="61"/>
      <c r="D39" s="72"/>
      <c r="E39" s="65" t="s">
        <v>128</v>
      </c>
      <c r="F39" s="59"/>
      <c r="G39" s="59"/>
      <c r="H39" s="51"/>
      <c r="I39" s="29"/>
      <c r="J39" s="29"/>
      <c r="K39" s="29"/>
      <c r="L39" s="29"/>
      <c r="M39" s="29"/>
      <c r="N39" s="29"/>
      <c r="O39" s="29"/>
      <c r="P39" s="29"/>
      <c r="Q39" s="52"/>
      <c r="R39" s="29"/>
    </row>
    <row r="40">
      <c r="A40" s="39"/>
      <c r="B40" s="60"/>
      <c r="C40" s="61"/>
      <c r="D40" s="72"/>
      <c r="E40" s="58" t="s">
        <v>129</v>
      </c>
      <c r="F40" s="63"/>
      <c r="G40" s="63"/>
      <c r="H40" s="51"/>
      <c r="I40" s="29"/>
      <c r="J40" s="29"/>
      <c r="K40" s="29"/>
      <c r="L40" s="29"/>
      <c r="M40" s="29"/>
      <c r="N40" s="29"/>
      <c r="O40" s="29"/>
      <c r="P40" s="29"/>
      <c r="Q40" s="52"/>
      <c r="R40" s="29"/>
    </row>
    <row r="41">
      <c r="A41" s="39"/>
      <c r="B41" s="60"/>
      <c r="C41" s="61"/>
      <c r="D41" s="74"/>
      <c r="E41" s="75" t="s">
        <v>130</v>
      </c>
      <c r="F41" s="47"/>
      <c r="G41" s="47"/>
      <c r="H41" s="51"/>
      <c r="I41" s="29"/>
      <c r="J41" s="29"/>
      <c r="K41" s="29"/>
      <c r="L41" s="29"/>
      <c r="M41" s="29"/>
      <c r="N41" s="29"/>
      <c r="O41" s="29"/>
      <c r="P41" s="29"/>
      <c r="Q41" s="52"/>
      <c r="R41" s="29"/>
    </row>
    <row r="42">
      <c r="A42" s="39"/>
      <c r="B42" s="60"/>
      <c r="C42" s="61"/>
      <c r="D42" s="64" t="s">
        <v>142</v>
      </c>
      <c r="E42" s="76" t="s">
        <v>141</v>
      </c>
      <c r="F42" s="59"/>
      <c r="G42" s="59"/>
      <c r="H42" s="51"/>
      <c r="I42" s="29"/>
      <c r="J42" s="29"/>
      <c r="K42" s="29"/>
      <c r="L42" s="29"/>
      <c r="M42" s="29"/>
      <c r="N42" s="29"/>
      <c r="O42" s="29"/>
      <c r="P42" s="29"/>
      <c r="Q42" s="52"/>
      <c r="R42" s="29"/>
    </row>
    <row r="43">
      <c r="A43" s="39"/>
      <c r="B43" s="60"/>
      <c r="C43" s="61"/>
      <c r="D43" s="72"/>
      <c r="E43" s="65" t="s">
        <v>128</v>
      </c>
      <c r="F43" s="59"/>
      <c r="G43" s="59"/>
      <c r="H43" s="51"/>
      <c r="I43" s="29"/>
      <c r="J43" s="29"/>
      <c r="K43" s="29"/>
      <c r="L43" s="29"/>
      <c r="M43" s="29"/>
      <c r="N43" s="29"/>
      <c r="O43" s="29"/>
      <c r="P43" s="29"/>
      <c r="Q43" s="52"/>
      <c r="R43" s="29"/>
    </row>
    <row r="44">
      <c r="A44" s="39"/>
      <c r="B44" s="60"/>
      <c r="C44" s="61"/>
      <c r="D44" s="72"/>
      <c r="E44" s="58" t="s">
        <v>129</v>
      </c>
      <c r="F44" s="47"/>
      <c r="G44" s="47"/>
      <c r="H44" s="51"/>
      <c r="I44" s="29"/>
      <c r="J44" s="29"/>
      <c r="K44" s="29"/>
      <c r="L44" s="29"/>
      <c r="M44" s="29"/>
      <c r="N44" s="29"/>
      <c r="O44" s="29"/>
      <c r="P44" s="29"/>
      <c r="Q44" s="52"/>
      <c r="R44" s="29"/>
    </row>
    <row r="45">
      <c r="A45" s="39"/>
      <c r="B45" s="60"/>
      <c r="C45" s="73"/>
      <c r="D45" s="74"/>
      <c r="E45" s="75" t="s">
        <v>130</v>
      </c>
      <c r="F45" s="63"/>
      <c r="G45" s="63"/>
      <c r="H45" s="51"/>
      <c r="I45" s="29"/>
      <c r="J45" s="29"/>
      <c r="K45" s="29"/>
      <c r="L45" s="29"/>
      <c r="M45" s="29"/>
      <c r="N45" s="29"/>
      <c r="O45" s="29"/>
      <c r="P45" s="29"/>
      <c r="Q45" s="52"/>
      <c r="R45" s="29"/>
    </row>
    <row r="46">
      <c r="A46" s="39"/>
      <c r="B46" s="60"/>
      <c r="C46" s="77" t="s">
        <v>143</v>
      </c>
      <c r="D46" s="64" t="s">
        <v>144</v>
      </c>
      <c r="E46" s="65" t="s">
        <v>145</v>
      </c>
      <c r="F46" s="59"/>
      <c r="G46" s="59"/>
      <c r="H46" s="51"/>
      <c r="I46" s="29"/>
      <c r="J46" s="29"/>
      <c r="K46" s="29"/>
      <c r="L46" s="29"/>
      <c r="M46" s="29"/>
      <c r="N46" s="29"/>
      <c r="O46" s="29"/>
      <c r="P46" s="29"/>
      <c r="Q46" s="52"/>
      <c r="R46" s="29"/>
    </row>
    <row r="47">
      <c r="A47" s="39"/>
      <c r="B47" s="60"/>
      <c r="C47" s="80"/>
      <c r="D47" s="72"/>
      <c r="E47" s="58" t="s">
        <v>146</v>
      </c>
      <c r="F47" s="63"/>
      <c r="G47" s="63"/>
      <c r="H47" s="51"/>
      <c r="I47" s="29"/>
      <c r="J47" s="29"/>
      <c r="K47" s="29"/>
      <c r="L47" s="29"/>
      <c r="M47" s="29"/>
      <c r="N47" s="29"/>
      <c r="O47" s="29"/>
      <c r="P47" s="29"/>
      <c r="Q47" s="52"/>
      <c r="R47" s="29"/>
    </row>
    <row r="48">
      <c r="A48" s="39"/>
      <c r="B48" s="60"/>
      <c r="C48" s="80"/>
      <c r="D48" s="72"/>
      <c r="E48" s="58" t="s">
        <v>147</v>
      </c>
      <c r="F48" s="63"/>
      <c r="G48" s="63"/>
      <c r="H48" s="51"/>
      <c r="I48" s="29"/>
      <c r="J48" s="29"/>
      <c r="K48" s="29"/>
      <c r="L48" s="29"/>
      <c r="M48" s="29"/>
      <c r="N48" s="29"/>
      <c r="O48" s="29"/>
      <c r="P48" s="29"/>
      <c r="Q48" s="52"/>
      <c r="R48" s="29"/>
    </row>
    <row r="49">
      <c r="A49" s="39"/>
      <c r="B49" s="60"/>
      <c r="C49" s="83"/>
      <c r="D49" s="74"/>
      <c r="E49" s="75" t="s">
        <v>148</v>
      </c>
      <c r="F49" s="63"/>
      <c r="G49" s="63"/>
      <c r="H49" s="51"/>
      <c r="I49" s="29"/>
      <c r="J49" s="29"/>
      <c r="K49" s="29"/>
      <c r="L49" s="29"/>
      <c r="M49" s="29"/>
      <c r="N49" s="29"/>
      <c r="O49" s="29"/>
      <c r="P49" s="29"/>
      <c r="Q49" s="52"/>
      <c r="R49" s="29"/>
    </row>
    <row r="50">
      <c r="A50" s="39"/>
      <c r="B50" s="60"/>
      <c r="C50" s="84" t="s">
        <v>56</v>
      </c>
      <c r="D50" s="64" t="s">
        <v>149</v>
      </c>
      <c r="E50" s="76" t="s">
        <v>150</v>
      </c>
      <c r="F50" s="71"/>
      <c r="G50" s="71"/>
      <c r="H50" s="51"/>
      <c r="I50" s="29"/>
      <c r="J50" s="29"/>
      <c r="K50" s="29"/>
      <c r="L50" s="29"/>
      <c r="M50" s="29"/>
      <c r="N50" s="29"/>
      <c r="O50" s="29"/>
      <c r="P50" s="29"/>
      <c r="Q50" s="52"/>
      <c r="R50" s="29"/>
    </row>
    <row r="51">
      <c r="A51" s="39"/>
      <c r="B51" s="60"/>
      <c r="C51" s="80"/>
      <c r="D51" s="72"/>
      <c r="E51" s="58" t="s">
        <v>133</v>
      </c>
      <c r="F51" s="47"/>
      <c r="G51" s="47"/>
      <c r="H51" s="51"/>
      <c r="I51" s="29"/>
      <c r="J51" s="29"/>
      <c r="K51" s="29"/>
      <c r="L51" s="29"/>
      <c r="M51" s="29"/>
      <c r="N51" s="29"/>
      <c r="O51" s="29"/>
      <c r="P51" s="29"/>
      <c r="Q51" s="52"/>
      <c r="R51" s="29"/>
    </row>
    <row r="52">
      <c r="A52" s="39"/>
      <c r="B52" s="60"/>
      <c r="C52" s="80"/>
      <c r="D52" s="72"/>
      <c r="E52" s="58" t="s">
        <v>151</v>
      </c>
      <c r="F52" s="47"/>
      <c r="G52" s="47"/>
      <c r="H52" s="51"/>
      <c r="I52" s="29"/>
      <c r="J52" s="29"/>
      <c r="K52" s="29"/>
      <c r="L52" s="29"/>
      <c r="M52" s="29"/>
      <c r="N52" s="29"/>
      <c r="O52" s="29"/>
      <c r="P52" s="29"/>
      <c r="Q52" s="52"/>
      <c r="R52" s="29"/>
    </row>
    <row r="53">
      <c r="A53" s="39"/>
      <c r="B53" s="60"/>
      <c r="C53" s="77" t="s">
        <v>152</v>
      </c>
      <c r="D53" s="85" t="s">
        <v>153</v>
      </c>
      <c r="E53" s="70" t="s">
        <v>154</v>
      </c>
      <c r="F53" s="86"/>
      <c r="G53" s="71"/>
      <c r="H53" s="51"/>
      <c r="I53" s="29"/>
      <c r="J53" s="29"/>
      <c r="K53" s="29"/>
      <c r="L53" s="29"/>
      <c r="M53" s="29"/>
      <c r="N53" s="29"/>
      <c r="O53" s="29"/>
      <c r="P53" s="29"/>
      <c r="Q53" s="52"/>
      <c r="R53" s="29"/>
    </row>
    <row r="54">
      <c r="A54" s="39"/>
      <c r="B54" s="60"/>
      <c r="C54" s="80"/>
      <c r="D54" s="87"/>
      <c r="E54" s="58" t="s">
        <v>155</v>
      </c>
      <c r="F54" s="88"/>
      <c r="G54" s="63"/>
      <c r="H54" s="51"/>
      <c r="I54" s="29"/>
      <c r="J54" s="29"/>
      <c r="K54" s="29"/>
      <c r="L54" s="29"/>
      <c r="M54" s="29"/>
      <c r="N54" s="29"/>
      <c r="O54" s="29"/>
      <c r="P54" s="29"/>
      <c r="Q54" s="52"/>
      <c r="R54" s="29"/>
    </row>
    <row r="55">
      <c r="A55" s="39"/>
      <c r="B55" s="40"/>
      <c r="C55" s="89"/>
      <c r="D55" s="90"/>
      <c r="E55" s="91" t="s">
        <v>156</v>
      </c>
      <c r="F55" s="88"/>
      <c r="G55" s="63"/>
      <c r="H55" s="51"/>
      <c r="I55" s="29"/>
      <c r="J55" s="29"/>
      <c r="K55" s="29"/>
      <c r="L55" s="29"/>
      <c r="M55" s="29"/>
      <c r="N55" s="29"/>
      <c r="O55" s="29"/>
      <c r="P55" s="29"/>
      <c r="Q55" s="52"/>
      <c r="R55" s="29"/>
    </row>
    <row r="56">
      <c r="A56" s="39"/>
      <c r="B56" s="92" t="s">
        <v>157</v>
      </c>
      <c r="C56" s="93" t="s">
        <v>33</v>
      </c>
      <c r="D56" s="57" t="s">
        <v>158</v>
      </c>
      <c r="E56" s="94" t="s">
        <v>159</v>
      </c>
      <c r="F56" s="63"/>
      <c r="G56" s="63"/>
      <c r="H56" s="51"/>
      <c r="I56" s="29"/>
      <c r="J56" s="29"/>
      <c r="K56" s="29"/>
      <c r="L56" s="29"/>
      <c r="M56" s="29"/>
      <c r="N56" s="29"/>
      <c r="O56" s="29"/>
      <c r="P56" s="29"/>
      <c r="Q56" s="52"/>
      <c r="R56" s="29"/>
    </row>
    <row r="57">
      <c r="A57" s="39"/>
      <c r="B57" s="60"/>
      <c r="C57" s="80"/>
      <c r="D57" s="72"/>
      <c r="E57" s="58" t="s">
        <v>160</v>
      </c>
      <c r="F57" s="63"/>
      <c r="G57" s="63"/>
      <c r="H57" s="51"/>
      <c r="I57" s="29"/>
      <c r="J57" s="29"/>
      <c r="K57" s="29"/>
      <c r="L57" s="29"/>
      <c r="M57" s="29"/>
      <c r="N57" s="29"/>
      <c r="O57" s="29"/>
      <c r="P57" s="29"/>
      <c r="Q57" s="52"/>
      <c r="R57" s="29"/>
    </row>
    <row r="58">
      <c r="A58" s="39"/>
      <c r="B58" s="60"/>
      <c r="C58" s="83"/>
      <c r="D58" s="74"/>
      <c r="E58" s="75" t="s">
        <v>161</v>
      </c>
      <c r="F58" s="63"/>
      <c r="G58" s="63"/>
      <c r="H58" s="51"/>
      <c r="I58" s="29"/>
      <c r="J58" s="29"/>
      <c r="K58" s="29"/>
      <c r="L58" s="29"/>
      <c r="M58" s="29"/>
      <c r="N58" s="29"/>
      <c r="O58" s="29"/>
      <c r="P58" s="29"/>
      <c r="Q58" s="52"/>
      <c r="R58" s="29"/>
    </row>
    <row r="59">
      <c r="A59" s="39"/>
      <c r="B59" s="60"/>
      <c r="C59" s="77" t="s">
        <v>31</v>
      </c>
      <c r="D59" s="95" t="s">
        <v>162</v>
      </c>
      <c r="E59" s="88" t="s">
        <v>163</v>
      </c>
      <c r="F59" s="59"/>
      <c r="G59" s="59"/>
      <c r="H59" s="51"/>
      <c r="I59" s="29"/>
      <c r="J59" s="29"/>
      <c r="K59" s="29"/>
      <c r="L59" s="29"/>
      <c r="M59" s="29"/>
      <c r="N59" s="29"/>
      <c r="O59" s="29"/>
      <c r="P59" s="29"/>
      <c r="Q59" s="52"/>
      <c r="R59" s="29"/>
    </row>
    <row r="60">
      <c r="A60" s="39"/>
      <c r="B60" s="60"/>
      <c r="C60" s="80"/>
      <c r="D60" s="64" t="s">
        <v>164</v>
      </c>
      <c r="E60" s="65" t="s">
        <v>165</v>
      </c>
      <c r="F60" s="68"/>
      <c r="G60" s="68"/>
      <c r="H60" s="51"/>
      <c r="I60" s="29"/>
      <c r="J60" s="29"/>
      <c r="K60" s="29"/>
      <c r="L60" s="29"/>
      <c r="M60" s="29"/>
      <c r="N60" s="29"/>
      <c r="O60" s="29"/>
      <c r="P60" s="29"/>
      <c r="Q60" s="52"/>
      <c r="R60" s="29"/>
    </row>
    <row r="61">
      <c r="A61" s="39"/>
      <c r="B61" s="60"/>
      <c r="C61" s="80"/>
      <c r="D61" s="74"/>
      <c r="E61" s="58" t="s">
        <v>166</v>
      </c>
      <c r="F61" s="63"/>
      <c r="G61" s="63"/>
      <c r="H61" s="51"/>
      <c r="I61" s="29"/>
      <c r="J61" s="29"/>
      <c r="K61" s="29"/>
      <c r="L61" s="29"/>
      <c r="M61" s="29"/>
      <c r="N61" s="29"/>
      <c r="O61" s="29"/>
      <c r="P61" s="29"/>
      <c r="Q61" s="52"/>
      <c r="R61" s="29"/>
    </row>
    <row r="62">
      <c r="A62" s="39"/>
      <c r="B62" s="60"/>
      <c r="C62" s="80"/>
      <c r="D62" s="96" t="s">
        <v>167</v>
      </c>
      <c r="E62" s="65" t="s">
        <v>168</v>
      </c>
      <c r="F62" s="59"/>
      <c r="G62" s="59"/>
      <c r="H62" s="51"/>
      <c r="I62" s="29"/>
      <c r="J62" s="29"/>
      <c r="K62" s="29"/>
      <c r="L62" s="29"/>
      <c r="M62" s="29"/>
      <c r="N62" s="29"/>
      <c r="O62" s="29"/>
      <c r="P62" s="29"/>
      <c r="Q62" s="52"/>
      <c r="R62" s="29"/>
    </row>
    <row r="63">
      <c r="A63" s="39"/>
      <c r="B63" s="60"/>
      <c r="C63" s="80"/>
      <c r="D63" s="72"/>
      <c r="E63" s="58" t="s">
        <v>169</v>
      </c>
      <c r="F63" s="63"/>
      <c r="G63" s="63"/>
      <c r="H63" s="51"/>
      <c r="I63" s="29"/>
      <c r="J63" s="29"/>
      <c r="K63" s="29"/>
      <c r="L63" s="29"/>
      <c r="M63" s="29"/>
      <c r="N63" s="29"/>
      <c r="O63" s="29"/>
      <c r="P63" s="29"/>
      <c r="Q63" s="52"/>
      <c r="R63" s="29"/>
    </row>
    <row r="64">
      <c r="A64" s="39"/>
      <c r="B64" s="60"/>
      <c r="C64" s="80"/>
      <c r="D64" s="72"/>
      <c r="E64" s="58" t="s">
        <v>170</v>
      </c>
      <c r="F64" s="63"/>
      <c r="G64" s="63"/>
      <c r="H64" s="51"/>
      <c r="I64" s="29"/>
      <c r="J64" s="29"/>
      <c r="K64" s="29"/>
      <c r="L64" s="29"/>
      <c r="M64" s="29"/>
      <c r="N64" s="29"/>
      <c r="O64" s="29"/>
      <c r="P64" s="29"/>
      <c r="Q64" s="52"/>
      <c r="R64" s="29"/>
    </row>
    <row r="65">
      <c r="A65" s="39"/>
      <c r="B65" s="60"/>
      <c r="C65" s="83"/>
      <c r="D65" s="74"/>
      <c r="E65" s="75" t="s">
        <v>171</v>
      </c>
      <c r="F65" s="63"/>
      <c r="G65" s="63"/>
      <c r="H65" s="51"/>
      <c r="I65" s="29"/>
      <c r="J65" s="29"/>
      <c r="K65" s="29"/>
      <c r="L65" s="29"/>
      <c r="M65" s="29"/>
      <c r="N65" s="29"/>
      <c r="O65" s="29"/>
      <c r="P65" s="29"/>
      <c r="Q65" s="52"/>
      <c r="R65" s="29"/>
    </row>
    <row r="66">
      <c r="A66" s="39"/>
      <c r="B66" s="60"/>
      <c r="C66" s="77" t="s">
        <v>52</v>
      </c>
      <c r="D66" s="64" t="s">
        <v>172</v>
      </c>
      <c r="E66" s="58" t="s">
        <v>173</v>
      </c>
      <c r="F66" s="59"/>
      <c r="G66" s="59"/>
      <c r="H66" s="51"/>
      <c r="I66" s="29"/>
      <c r="J66" s="29"/>
      <c r="K66" s="29"/>
      <c r="L66" s="29"/>
      <c r="M66" s="29"/>
      <c r="N66" s="29"/>
      <c r="O66" s="29"/>
      <c r="P66" s="29"/>
      <c r="Q66" s="52"/>
      <c r="R66" s="29"/>
    </row>
    <row r="67">
      <c r="A67" s="39"/>
      <c r="B67" s="60"/>
      <c r="C67" s="80"/>
      <c r="D67" s="72"/>
      <c r="E67" s="58" t="s">
        <v>174</v>
      </c>
      <c r="F67" s="63"/>
      <c r="G67" s="63"/>
      <c r="H67" s="51"/>
      <c r="I67" s="29"/>
      <c r="J67" s="29"/>
      <c r="K67" s="29"/>
      <c r="L67" s="29"/>
      <c r="M67" s="29"/>
      <c r="N67" s="29"/>
      <c r="O67" s="29"/>
      <c r="P67" s="29"/>
      <c r="Q67" s="52"/>
      <c r="R67" s="29"/>
    </row>
    <row r="68">
      <c r="A68" s="39"/>
      <c r="B68" s="60"/>
      <c r="C68" s="80"/>
      <c r="D68" s="74"/>
      <c r="E68" s="75" t="s">
        <v>175</v>
      </c>
      <c r="F68" s="63"/>
      <c r="G68" s="63"/>
      <c r="H68" s="51"/>
      <c r="I68" s="29"/>
      <c r="J68" s="29"/>
      <c r="K68" s="29"/>
      <c r="L68" s="29"/>
      <c r="M68" s="29"/>
      <c r="N68" s="29"/>
      <c r="O68" s="29"/>
      <c r="P68" s="29"/>
      <c r="Q68" s="52"/>
      <c r="R68" s="29"/>
    </row>
    <row r="69">
      <c r="A69" s="39"/>
      <c r="B69" s="60"/>
      <c r="C69" s="80"/>
      <c r="D69" s="64" t="s">
        <v>176</v>
      </c>
      <c r="E69" s="58" t="s">
        <v>177</v>
      </c>
      <c r="F69" s="59"/>
      <c r="G69" s="59"/>
      <c r="H69" s="51"/>
      <c r="I69" s="29"/>
      <c r="J69" s="29"/>
      <c r="K69" s="29"/>
      <c r="L69" s="29"/>
      <c r="M69" s="29"/>
      <c r="N69" s="29"/>
      <c r="O69" s="29"/>
      <c r="P69" s="29"/>
      <c r="Q69" s="52"/>
      <c r="R69" s="29"/>
    </row>
    <row r="70">
      <c r="A70" s="39"/>
      <c r="B70" s="60"/>
      <c r="C70" s="83"/>
      <c r="D70" s="74"/>
      <c r="E70" s="58" t="s">
        <v>178</v>
      </c>
      <c r="F70" s="63"/>
      <c r="G70" s="63"/>
      <c r="H70" s="51"/>
      <c r="I70" s="29"/>
      <c r="J70" s="29"/>
      <c r="K70" s="29"/>
      <c r="L70" s="29"/>
      <c r="M70" s="29"/>
      <c r="N70" s="29"/>
      <c r="O70" s="29"/>
      <c r="P70" s="29"/>
      <c r="Q70" s="52"/>
      <c r="R70" s="29"/>
    </row>
    <row r="71">
      <c r="A71" s="39"/>
      <c r="B71" s="60"/>
      <c r="C71" s="77" t="s">
        <v>179</v>
      </c>
      <c r="D71" s="64" t="s">
        <v>180</v>
      </c>
      <c r="E71" s="97" t="s">
        <v>181</v>
      </c>
      <c r="F71" s="98"/>
      <c r="G71" s="98"/>
      <c r="H71" s="79"/>
      <c r="J71" s="29"/>
      <c r="K71" s="29"/>
      <c r="L71" s="29"/>
      <c r="M71" s="29"/>
      <c r="N71" s="29"/>
      <c r="O71" s="29"/>
      <c r="P71" s="29"/>
      <c r="Q71" s="52"/>
      <c r="R71" s="29"/>
    </row>
    <row r="72">
      <c r="A72" s="39"/>
      <c r="B72" s="60"/>
      <c r="C72" s="80"/>
      <c r="D72" s="72"/>
      <c r="E72" s="67" t="s">
        <v>182</v>
      </c>
      <c r="F72" s="68"/>
      <c r="G72" s="68"/>
      <c r="H72" s="79"/>
      <c r="J72" s="29"/>
      <c r="K72" s="29"/>
      <c r="L72" s="29"/>
      <c r="M72" s="29"/>
      <c r="N72" s="29"/>
      <c r="O72" s="29"/>
      <c r="P72" s="29"/>
      <c r="Q72" s="52"/>
      <c r="R72" s="29"/>
    </row>
    <row r="73">
      <c r="A73" s="39"/>
      <c r="B73" s="60"/>
      <c r="C73" s="80"/>
      <c r="D73" s="74"/>
      <c r="E73" s="99" t="s">
        <v>183</v>
      </c>
      <c r="F73" s="68"/>
      <c r="G73" s="68"/>
      <c r="H73" s="79"/>
      <c r="J73" s="29"/>
      <c r="K73" s="29"/>
      <c r="L73" s="29"/>
      <c r="M73" s="29"/>
      <c r="N73" s="29"/>
      <c r="O73" s="29"/>
      <c r="P73" s="29"/>
      <c r="Q73" s="52"/>
      <c r="R73" s="29"/>
    </row>
    <row r="74">
      <c r="A74" s="39"/>
      <c r="B74" s="60"/>
      <c r="C74" s="80"/>
      <c r="D74" s="64" t="s">
        <v>184</v>
      </c>
      <c r="E74" s="67" t="s">
        <v>185</v>
      </c>
      <c r="F74" s="98"/>
      <c r="G74" s="98"/>
      <c r="H74" s="79"/>
      <c r="J74" s="29"/>
      <c r="K74" s="29"/>
      <c r="L74" s="29"/>
      <c r="M74" s="29"/>
      <c r="N74" s="29"/>
      <c r="O74" s="29"/>
      <c r="P74" s="29"/>
      <c r="Q74" s="52"/>
      <c r="R74" s="29"/>
    </row>
    <row r="75">
      <c r="A75" s="39"/>
      <c r="B75" s="60"/>
      <c r="C75" s="80"/>
      <c r="D75" s="72"/>
      <c r="E75" s="67" t="s">
        <v>186</v>
      </c>
      <c r="F75" s="68"/>
      <c r="G75" s="68"/>
      <c r="H75" s="79"/>
      <c r="J75" s="29"/>
      <c r="K75" s="29"/>
      <c r="L75" s="29"/>
      <c r="M75" s="29"/>
      <c r="N75" s="29"/>
      <c r="O75" s="29"/>
      <c r="P75" s="29"/>
      <c r="Q75" s="52"/>
      <c r="R75" s="29"/>
    </row>
    <row r="76">
      <c r="A76" s="39"/>
      <c r="B76" s="60"/>
      <c r="C76" s="80"/>
      <c r="D76" s="74"/>
      <c r="E76" s="99" t="s">
        <v>187</v>
      </c>
      <c r="F76" s="68"/>
      <c r="G76" s="68"/>
      <c r="H76" s="79"/>
      <c r="J76" s="29"/>
      <c r="K76" s="29"/>
      <c r="L76" s="29"/>
      <c r="M76" s="29"/>
      <c r="N76" s="29"/>
      <c r="O76" s="29"/>
      <c r="P76" s="29"/>
      <c r="Q76" s="52"/>
      <c r="R76" s="29"/>
    </row>
    <row r="77">
      <c r="A77" s="39"/>
      <c r="B77" s="60"/>
      <c r="C77" s="80"/>
      <c r="D77" s="95" t="s">
        <v>188</v>
      </c>
      <c r="E77" s="100" t="s">
        <v>189</v>
      </c>
      <c r="F77" s="98"/>
      <c r="G77" s="98"/>
      <c r="H77" s="79"/>
      <c r="J77" s="29"/>
      <c r="K77" s="29"/>
      <c r="L77" s="29"/>
      <c r="M77" s="29"/>
      <c r="N77" s="29"/>
      <c r="O77" s="29"/>
      <c r="P77" s="29"/>
      <c r="Q77" s="52"/>
      <c r="R77" s="29"/>
    </row>
    <row r="78">
      <c r="A78" s="39"/>
      <c r="B78" s="60"/>
      <c r="C78" s="80"/>
      <c r="D78" s="64" t="s">
        <v>190</v>
      </c>
      <c r="E78" s="97" t="s">
        <v>191</v>
      </c>
      <c r="F78" s="98"/>
      <c r="G78" s="98"/>
      <c r="H78" s="79"/>
      <c r="J78" s="29"/>
      <c r="K78" s="29"/>
      <c r="L78" s="29"/>
      <c r="M78" s="29"/>
      <c r="N78" s="29"/>
      <c r="O78" s="29"/>
      <c r="P78" s="29"/>
      <c r="Q78" s="52"/>
      <c r="R78" s="29"/>
    </row>
    <row r="79">
      <c r="A79" s="39"/>
      <c r="B79" s="60"/>
      <c r="C79" s="80"/>
      <c r="D79" s="74"/>
      <c r="E79" s="67" t="s">
        <v>192</v>
      </c>
      <c r="F79" s="68"/>
      <c r="G79" s="68"/>
      <c r="H79" s="79"/>
      <c r="J79" s="29"/>
      <c r="K79" s="29"/>
      <c r="L79" s="29"/>
      <c r="M79" s="29"/>
      <c r="N79" s="29"/>
      <c r="O79" s="29"/>
      <c r="P79" s="29"/>
      <c r="Q79" s="52"/>
      <c r="R79" s="29"/>
    </row>
    <row r="80">
      <c r="A80" s="39"/>
      <c r="B80" s="60"/>
      <c r="C80" s="80"/>
      <c r="D80" s="64" t="s">
        <v>51</v>
      </c>
      <c r="E80" s="97" t="s">
        <v>193</v>
      </c>
      <c r="F80" s="98"/>
      <c r="G80" s="98"/>
      <c r="H80" s="79"/>
      <c r="J80" s="29"/>
      <c r="K80" s="29"/>
      <c r="L80" s="29"/>
      <c r="M80" s="29"/>
      <c r="N80" s="29"/>
      <c r="O80" s="29"/>
      <c r="P80" s="29"/>
      <c r="Q80" s="52"/>
      <c r="R80" s="29"/>
    </row>
    <row r="81">
      <c r="A81" s="39"/>
      <c r="B81" s="60"/>
      <c r="C81" s="80"/>
      <c r="D81" s="74"/>
      <c r="E81" s="67" t="s">
        <v>194</v>
      </c>
      <c r="F81" s="68"/>
      <c r="G81" s="68"/>
      <c r="H81" s="79"/>
      <c r="J81" s="29"/>
      <c r="K81" s="29"/>
      <c r="L81" s="29"/>
      <c r="M81" s="29"/>
      <c r="N81" s="29"/>
      <c r="O81" s="29"/>
      <c r="P81" s="29"/>
      <c r="Q81" s="52"/>
      <c r="R81" s="29"/>
    </row>
    <row r="82">
      <c r="A82" s="39"/>
      <c r="B82" s="60"/>
      <c r="C82" s="80"/>
      <c r="D82" s="64" t="s">
        <v>20</v>
      </c>
      <c r="E82" s="97" t="s">
        <v>195</v>
      </c>
      <c r="F82" s="98"/>
      <c r="G82" s="98"/>
      <c r="H82" s="79"/>
      <c r="J82" s="29"/>
      <c r="K82" s="29"/>
      <c r="L82" s="29"/>
      <c r="M82" s="29"/>
      <c r="N82" s="29"/>
      <c r="O82" s="29"/>
      <c r="P82" s="29"/>
      <c r="Q82" s="52"/>
      <c r="R82" s="29"/>
    </row>
    <row r="83">
      <c r="A83" s="39"/>
      <c r="B83" s="60"/>
      <c r="C83" s="80"/>
      <c r="D83" s="74"/>
      <c r="E83" s="99" t="s">
        <v>196</v>
      </c>
      <c r="F83" s="68"/>
      <c r="G83" s="68"/>
      <c r="H83" s="79"/>
      <c r="J83" s="29"/>
      <c r="K83" s="29"/>
      <c r="L83" s="29"/>
      <c r="M83" s="29"/>
      <c r="N83" s="29"/>
      <c r="O83" s="29"/>
      <c r="P83" s="29"/>
      <c r="Q83" s="52"/>
      <c r="R83" s="29"/>
    </row>
    <row r="84">
      <c r="A84" s="39"/>
      <c r="B84" s="60"/>
      <c r="C84" s="80"/>
      <c r="D84" s="85" t="s">
        <v>197</v>
      </c>
      <c r="E84" s="101" t="s">
        <v>198</v>
      </c>
      <c r="F84" s="98"/>
      <c r="G84" s="98"/>
      <c r="H84" s="79"/>
      <c r="J84" s="29"/>
      <c r="K84" s="29"/>
      <c r="L84" s="29"/>
      <c r="M84" s="29"/>
      <c r="N84" s="29"/>
      <c r="O84" s="29"/>
      <c r="P84" s="29"/>
      <c r="Q84" s="52"/>
      <c r="R84" s="29"/>
    </row>
    <row r="85">
      <c r="A85" s="39"/>
      <c r="B85" s="60"/>
      <c r="C85" s="80"/>
      <c r="D85" s="102"/>
      <c r="E85" s="100" t="s">
        <v>199</v>
      </c>
      <c r="F85" s="98"/>
      <c r="G85" s="98"/>
      <c r="H85" s="79"/>
      <c r="J85" s="29"/>
      <c r="K85" s="29"/>
      <c r="L85" s="29"/>
      <c r="M85" s="29"/>
      <c r="N85" s="29"/>
      <c r="O85" s="29"/>
      <c r="P85" s="29"/>
      <c r="Q85" s="52"/>
      <c r="R85" s="29"/>
    </row>
    <row r="86">
      <c r="A86" s="39"/>
      <c r="B86" s="60"/>
      <c r="C86" s="80"/>
      <c r="D86" s="64" t="s">
        <v>44</v>
      </c>
      <c r="E86" s="97" t="s">
        <v>200</v>
      </c>
      <c r="F86" s="68"/>
      <c r="G86" s="68"/>
      <c r="H86" s="79"/>
      <c r="J86" s="29"/>
      <c r="K86" s="29"/>
      <c r="L86" s="29"/>
      <c r="M86" s="29"/>
      <c r="N86" s="29"/>
      <c r="O86" s="29"/>
      <c r="P86" s="29"/>
      <c r="Q86" s="52"/>
      <c r="R86" s="29"/>
    </row>
    <row r="87">
      <c r="A87" s="39"/>
      <c r="B87" s="60"/>
      <c r="C87" s="83"/>
      <c r="D87" s="74"/>
      <c r="E87" s="99" t="s">
        <v>201</v>
      </c>
      <c r="F87" s="68"/>
      <c r="G87" s="68"/>
      <c r="H87" s="79"/>
      <c r="J87" s="29"/>
      <c r="K87" s="29"/>
      <c r="L87" s="29"/>
      <c r="M87" s="29"/>
      <c r="N87" s="29"/>
      <c r="O87" s="29"/>
      <c r="P87" s="29"/>
      <c r="Q87" s="52"/>
      <c r="R87" s="29"/>
    </row>
    <row r="88">
      <c r="A88" s="39"/>
      <c r="B88" s="60"/>
      <c r="C88" s="84" t="s">
        <v>202</v>
      </c>
      <c r="D88" s="95" t="s">
        <v>203</v>
      </c>
      <c r="E88" s="103" t="s">
        <v>204</v>
      </c>
      <c r="F88" s="98"/>
      <c r="G88" s="98"/>
      <c r="H88" s="79"/>
      <c r="J88" s="29"/>
      <c r="K88" s="29"/>
      <c r="L88" s="29"/>
      <c r="M88" s="29"/>
      <c r="N88" s="29"/>
      <c r="O88" s="29"/>
      <c r="P88" s="29"/>
      <c r="Q88" s="52"/>
      <c r="R88" s="29"/>
    </row>
    <row r="89">
      <c r="A89" s="39"/>
      <c r="B89" s="60"/>
      <c r="C89" s="80"/>
      <c r="D89" s="64" t="s">
        <v>205</v>
      </c>
      <c r="E89" s="103" t="s">
        <v>204</v>
      </c>
      <c r="F89" s="98"/>
      <c r="G89" s="98"/>
      <c r="H89" s="79"/>
      <c r="J89" s="29"/>
      <c r="K89" s="29"/>
      <c r="L89" s="29"/>
      <c r="M89" s="29"/>
      <c r="N89" s="29"/>
      <c r="O89" s="29"/>
      <c r="P89" s="29"/>
      <c r="Q89" s="52"/>
      <c r="R89" s="29"/>
    </row>
    <row r="90">
      <c r="A90" s="39"/>
      <c r="B90" s="60"/>
      <c r="C90" s="80"/>
      <c r="D90" s="72"/>
      <c r="E90" s="104" t="s">
        <v>206</v>
      </c>
      <c r="F90" s="68"/>
      <c r="G90" s="68"/>
      <c r="H90" s="79"/>
      <c r="J90" s="29"/>
      <c r="K90" s="29"/>
      <c r="L90" s="29"/>
      <c r="M90" s="29"/>
      <c r="N90" s="29"/>
      <c r="O90" s="29"/>
      <c r="P90" s="29"/>
      <c r="Q90" s="52"/>
      <c r="R90" s="29"/>
    </row>
    <row r="91">
      <c r="A91" s="39"/>
      <c r="B91" s="60"/>
      <c r="C91" s="80"/>
      <c r="D91" s="72"/>
      <c r="E91" s="104" t="s">
        <v>207</v>
      </c>
      <c r="F91" s="68"/>
      <c r="G91" s="68"/>
      <c r="H91" s="79"/>
      <c r="J91" s="29"/>
      <c r="K91" s="29"/>
      <c r="L91" s="28"/>
      <c r="M91" s="29"/>
      <c r="N91" s="29"/>
      <c r="O91" s="29"/>
      <c r="P91" s="29"/>
      <c r="Q91" s="52"/>
      <c r="R91" s="29"/>
    </row>
    <row r="92">
      <c r="A92" s="39"/>
      <c r="B92" s="40"/>
      <c r="C92" s="89"/>
      <c r="D92" s="105"/>
      <c r="E92" s="106" t="s">
        <v>208</v>
      </c>
      <c r="F92" s="107"/>
      <c r="G92" s="107"/>
      <c r="H92" s="108"/>
      <c r="I92" s="109"/>
      <c r="J92" s="110"/>
      <c r="K92" s="110"/>
      <c r="L92" s="110"/>
      <c r="M92" s="110"/>
      <c r="N92" s="110"/>
      <c r="O92" s="110"/>
      <c r="P92" s="110"/>
      <c r="Q92" s="111"/>
      <c r="R92" s="29"/>
    </row>
    <row r="93">
      <c r="A93" s="28"/>
      <c r="B93" s="28"/>
      <c r="C93" s="28"/>
      <c r="D93" s="28"/>
      <c r="E93" s="28"/>
      <c r="F93" s="28"/>
      <c r="G93" s="28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</row>
  </sheetData>
  <mergeCells count="48">
    <mergeCell ref="C59:C65"/>
    <mergeCell ref="C66:C70"/>
    <mergeCell ref="D66:D68"/>
    <mergeCell ref="D69:D70"/>
    <mergeCell ref="D62:D65"/>
    <mergeCell ref="D71:D73"/>
    <mergeCell ref="D74:D76"/>
    <mergeCell ref="D78:D79"/>
    <mergeCell ref="D80:D81"/>
    <mergeCell ref="D82:D83"/>
    <mergeCell ref="D84:D85"/>
    <mergeCell ref="D86:D87"/>
    <mergeCell ref="C88:C92"/>
    <mergeCell ref="D89:D92"/>
    <mergeCell ref="C53:C55"/>
    <mergeCell ref="D53:D55"/>
    <mergeCell ref="B56:B92"/>
    <mergeCell ref="C56:C58"/>
    <mergeCell ref="D56:D58"/>
    <mergeCell ref="D60:D61"/>
    <mergeCell ref="C71:C87"/>
    <mergeCell ref="B2:B3"/>
    <mergeCell ref="C2:C3"/>
    <mergeCell ref="D2:D3"/>
    <mergeCell ref="E2:E3"/>
    <mergeCell ref="F2:F3"/>
    <mergeCell ref="G2:G3"/>
    <mergeCell ref="H2:Q2"/>
    <mergeCell ref="C23:C29"/>
    <mergeCell ref="D23:D29"/>
    <mergeCell ref="C30:C37"/>
    <mergeCell ref="D30:D31"/>
    <mergeCell ref="D32:D34"/>
    <mergeCell ref="D35:D37"/>
    <mergeCell ref="C38:C45"/>
    <mergeCell ref="D38:D41"/>
    <mergeCell ref="D42:D45"/>
    <mergeCell ref="C46:C49"/>
    <mergeCell ref="D46:D49"/>
    <mergeCell ref="C50:C52"/>
    <mergeCell ref="D50:D52"/>
    <mergeCell ref="B4:B5"/>
    <mergeCell ref="C4:E4"/>
    <mergeCell ref="C5:E5"/>
    <mergeCell ref="B6:B55"/>
    <mergeCell ref="C6:C13"/>
    <mergeCell ref="C14:C22"/>
    <mergeCell ref="D14:D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3.88"/>
    <col customWidth="1" min="4" max="4" width="28.63"/>
    <col customWidth="1" min="5" max="5" width="24.75"/>
  </cols>
  <sheetData>
    <row r="1">
      <c r="A1" s="112" t="s">
        <v>209</v>
      </c>
      <c r="E1" s="113"/>
      <c r="F1" s="113"/>
      <c r="G1" s="113"/>
      <c r="H1" s="113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>
      <c r="A2" s="114" t="s">
        <v>65</v>
      </c>
      <c r="B2" s="115" t="s">
        <v>210</v>
      </c>
      <c r="C2" s="114" t="s">
        <v>211</v>
      </c>
      <c r="D2" s="114" t="s">
        <v>212</v>
      </c>
      <c r="E2" s="114" t="s">
        <v>213</v>
      </c>
      <c r="F2" s="114" t="s">
        <v>214</v>
      </c>
      <c r="G2" s="114" t="s">
        <v>215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>
      <c r="A3" s="116" t="s">
        <v>216</v>
      </c>
      <c r="B3" s="117" t="s">
        <v>217</v>
      </c>
      <c r="C3" s="118" t="s">
        <v>218</v>
      </c>
      <c r="D3" s="119" t="s">
        <v>219</v>
      </c>
      <c r="E3" s="117" t="s">
        <v>220</v>
      </c>
      <c r="F3" s="120" t="s">
        <v>221</v>
      </c>
      <c r="G3" s="121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>
      <c r="A4" s="122" t="s">
        <v>222</v>
      </c>
      <c r="B4" s="123" t="s">
        <v>223</v>
      </c>
      <c r="C4" s="118" t="s">
        <v>224</v>
      </c>
      <c r="D4" s="118" t="s">
        <v>225</v>
      </c>
      <c r="E4" s="123" t="s">
        <v>226</v>
      </c>
      <c r="F4" s="118" t="s">
        <v>221</v>
      </c>
      <c r="G4" s="118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>
      <c r="A5" s="20"/>
      <c r="B5" s="124"/>
      <c r="C5" s="20"/>
      <c r="D5" s="20"/>
      <c r="E5" s="125"/>
      <c r="F5" s="125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>
      <c r="A6" s="20"/>
      <c r="B6" s="124"/>
      <c r="C6" s="20"/>
      <c r="D6" s="20"/>
      <c r="E6" s="125"/>
      <c r="F6" s="125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ht="22.5" customHeight="1">
      <c r="A7" s="126" t="s">
        <v>227</v>
      </c>
      <c r="B7" s="127" t="s">
        <v>210</v>
      </c>
      <c r="C7" s="126" t="s">
        <v>228</v>
      </c>
      <c r="D7" s="126" t="s">
        <v>229</v>
      </c>
      <c r="E7" s="128" t="s">
        <v>230</v>
      </c>
      <c r="F7" s="128" t="s">
        <v>231</v>
      </c>
      <c r="G7" s="126" t="s">
        <v>214</v>
      </c>
      <c r="H7" s="126" t="s">
        <v>232</v>
      </c>
      <c r="I7" s="129" t="s">
        <v>233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ht="22.5" customHeight="1">
      <c r="A8" s="130">
        <v>46055.0</v>
      </c>
      <c r="B8" s="131" t="s">
        <v>217</v>
      </c>
      <c r="C8" s="132" t="s">
        <v>218</v>
      </c>
      <c r="D8" s="132" t="s">
        <v>234</v>
      </c>
      <c r="E8" s="133">
        <v>10000.0</v>
      </c>
      <c r="F8" s="134"/>
      <c r="G8" s="135"/>
      <c r="H8" s="136"/>
      <c r="I8" s="137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ht="22.5" customHeight="1">
      <c r="A9" s="138">
        <v>46054.0</v>
      </c>
      <c r="B9" s="139" t="s">
        <v>217</v>
      </c>
      <c r="C9" s="139" t="s">
        <v>218</v>
      </c>
      <c r="D9" s="139" t="s">
        <v>122</v>
      </c>
      <c r="E9" s="140">
        <v>10000.0</v>
      </c>
      <c r="F9" s="141"/>
      <c r="G9" s="142"/>
      <c r="H9" s="142"/>
      <c r="I9" s="137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ht="22.5" customHeight="1">
      <c r="A10" s="143">
        <v>46054.0</v>
      </c>
      <c r="B10" s="144" t="s">
        <v>217</v>
      </c>
      <c r="C10" s="144" t="s">
        <v>218</v>
      </c>
      <c r="D10" s="144" t="s">
        <v>235</v>
      </c>
      <c r="E10" s="145">
        <v>5000.0</v>
      </c>
      <c r="F10" s="146"/>
      <c r="G10" s="147"/>
      <c r="H10" s="147"/>
      <c r="I10" s="148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ht="22.5" customHeight="1">
      <c r="A11" s="138">
        <v>46054.0</v>
      </c>
      <c r="B11" s="139" t="s">
        <v>217</v>
      </c>
      <c r="C11" s="139" t="s">
        <v>218</v>
      </c>
      <c r="D11" s="139" t="s">
        <v>236</v>
      </c>
      <c r="E11" s="140">
        <v>5000.0</v>
      </c>
      <c r="F11" s="141"/>
      <c r="G11" s="142"/>
      <c r="H11" s="142"/>
      <c r="I11" s="137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ht="22.5" customHeight="1">
      <c r="A12" s="138">
        <v>46054.0</v>
      </c>
      <c r="B12" s="139" t="s">
        <v>217</v>
      </c>
      <c r="C12" s="139" t="s">
        <v>218</v>
      </c>
      <c r="D12" s="139" t="s">
        <v>237</v>
      </c>
      <c r="E12" s="149">
        <v>2000.0</v>
      </c>
      <c r="F12" s="141"/>
      <c r="G12" s="142"/>
      <c r="H12" s="142"/>
      <c r="I12" s="137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ht="22.5" customHeight="1">
      <c r="A13" s="138">
        <v>46054.0</v>
      </c>
      <c r="B13" s="139" t="s">
        <v>217</v>
      </c>
      <c r="C13" s="139" t="s">
        <v>218</v>
      </c>
      <c r="D13" s="139" t="s">
        <v>153</v>
      </c>
      <c r="E13" s="149">
        <v>1000.0</v>
      </c>
      <c r="F13" s="141"/>
      <c r="G13" s="142"/>
      <c r="H13" s="142"/>
      <c r="I13" s="137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ht="22.5" customHeight="1">
      <c r="A14" s="138">
        <v>46054.0</v>
      </c>
      <c r="B14" s="139" t="s">
        <v>217</v>
      </c>
      <c r="C14" s="144" t="s">
        <v>218</v>
      </c>
      <c r="D14" s="144" t="s">
        <v>238</v>
      </c>
      <c r="E14" s="140">
        <v>5000.0</v>
      </c>
      <c r="F14" s="141"/>
      <c r="G14" s="142"/>
      <c r="H14" s="142"/>
      <c r="I14" s="150" t="s">
        <v>239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ht="22.5" customHeight="1">
      <c r="A15" s="138">
        <v>46054.0</v>
      </c>
      <c r="B15" s="139" t="s">
        <v>240</v>
      </c>
      <c r="C15" s="139" t="s">
        <v>31</v>
      </c>
      <c r="D15" s="139" t="s">
        <v>241</v>
      </c>
      <c r="E15" s="149">
        <v>100.0</v>
      </c>
      <c r="F15" s="141"/>
      <c r="G15" s="142"/>
      <c r="H15" s="142"/>
      <c r="I15" s="137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ht="22.5" customHeight="1">
      <c r="A16" s="143">
        <v>46054.0</v>
      </c>
      <c r="B16" s="144" t="s">
        <v>240</v>
      </c>
      <c r="C16" s="144" t="s">
        <v>224</v>
      </c>
      <c r="D16" s="144" t="s">
        <v>242</v>
      </c>
      <c r="E16" s="145">
        <v>300.0</v>
      </c>
      <c r="F16" s="146"/>
      <c r="G16" s="147"/>
      <c r="H16" s="147"/>
      <c r="I16" s="14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ht="22.5" customHeight="1">
      <c r="A17" s="151">
        <v>46054.0</v>
      </c>
      <c r="B17" s="152" t="s">
        <v>240</v>
      </c>
      <c r="C17" s="152" t="s">
        <v>243</v>
      </c>
      <c r="D17" s="152" t="s">
        <v>33</v>
      </c>
      <c r="E17" s="153">
        <v>500.0</v>
      </c>
      <c r="F17" s="154"/>
      <c r="G17" s="155"/>
      <c r="H17" s="155"/>
      <c r="I17" s="14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ht="22.5" customHeight="1">
      <c r="A18" s="156">
        <v>46082.0</v>
      </c>
      <c r="B18" s="157" t="s">
        <v>217</v>
      </c>
      <c r="C18" s="157" t="s">
        <v>218</v>
      </c>
      <c r="D18" s="157" t="s">
        <v>244</v>
      </c>
      <c r="E18" s="158">
        <v>15000.0</v>
      </c>
      <c r="F18" s="159"/>
      <c r="G18" s="160"/>
      <c r="H18" s="161"/>
      <c r="I18" s="162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ht="22.5" customHeight="1">
      <c r="A19" s="143">
        <v>46082.0</v>
      </c>
      <c r="B19" s="163" t="s">
        <v>217</v>
      </c>
      <c r="C19" s="163" t="s">
        <v>218</v>
      </c>
      <c r="D19" s="163" t="s">
        <v>245</v>
      </c>
      <c r="E19" s="145">
        <v>8000.0</v>
      </c>
      <c r="F19" s="146"/>
      <c r="G19" s="164"/>
      <c r="H19" s="147"/>
      <c r="I19" s="148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ht="22.5" customHeight="1">
      <c r="A20" s="143">
        <v>46082.0</v>
      </c>
      <c r="B20" s="163" t="s">
        <v>217</v>
      </c>
      <c r="C20" s="163" t="s">
        <v>218</v>
      </c>
      <c r="D20" s="165" t="s">
        <v>246</v>
      </c>
      <c r="E20" s="141">
        <v>7000.0</v>
      </c>
      <c r="F20" s="141"/>
      <c r="G20" s="166"/>
      <c r="H20" s="142"/>
      <c r="I20" s="137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ht="22.5" customHeight="1">
      <c r="A21" s="167">
        <v>46082.0</v>
      </c>
      <c r="B21" s="165" t="s">
        <v>217</v>
      </c>
      <c r="C21" s="165" t="s">
        <v>218</v>
      </c>
      <c r="D21" s="165" t="s">
        <v>247</v>
      </c>
      <c r="E21" s="149">
        <v>15000.0</v>
      </c>
      <c r="F21" s="141"/>
      <c r="G21" s="166"/>
      <c r="H21" s="142"/>
      <c r="I21" s="137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ht="22.5" customHeight="1">
      <c r="A22" s="167">
        <v>46082.0</v>
      </c>
      <c r="B22" s="139" t="s">
        <v>217</v>
      </c>
      <c r="C22" s="139" t="s">
        <v>218</v>
      </c>
      <c r="D22" s="163" t="s">
        <v>248</v>
      </c>
      <c r="E22" s="168">
        <v>5000.0</v>
      </c>
      <c r="F22" s="146"/>
      <c r="G22" s="164"/>
      <c r="H22" s="147"/>
      <c r="I22" s="14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ht="22.5" customHeight="1">
      <c r="A23" s="167">
        <v>46082.0</v>
      </c>
      <c r="B23" s="139" t="s">
        <v>217</v>
      </c>
      <c r="C23" s="139" t="s">
        <v>218</v>
      </c>
      <c r="D23" s="139" t="s">
        <v>249</v>
      </c>
      <c r="E23" s="149">
        <v>2000.0</v>
      </c>
      <c r="F23" s="146"/>
      <c r="G23" s="164"/>
      <c r="H23" s="147"/>
      <c r="I23" s="14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ht="22.5" customHeight="1">
      <c r="A24" s="143">
        <v>46082.0</v>
      </c>
      <c r="B24" s="163" t="s">
        <v>217</v>
      </c>
      <c r="C24" s="163" t="s">
        <v>218</v>
      </c>
      <c r="D24" s="163" t="s">
        <v>153</v>
      </c>
      <c r="E24" s="168">
        <v>1000.0</v>
      </c>
      <c r="F24" s="146"/>
      <c r="G24" s="164"/>
      <c r="H24" s="147"/>
      <c r="I24" s="14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ht="22.5" customHeight="1">
      <c r="A25" s="143">
        <v>46082.0</v>
      </c>
      <c r="B25" s="163" t="s">
        <v>240</v>
      </c>
      <c r="C25" s="163" t="s">
        <v>224</v>
      </c>
      <c r="D25" s="163" t="s">
        <v>250</v>
      </c>
      <c r="E25" s="168">
        <v>500.0</v>
      </c>
      <c r="F25" s="146"/>
      <c r="G25" s="164"/>
      <c r="H25" s="147"/>
      <c r="I25" s="148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ht="22.5" customHeight="1">
      <c r="A26" s="143">
        <v>46082.0</v>
      </c>
      <c r="B26" s="163" t="s">
        <v>240</v>
      </c>
      <c r="C26" s="163" t="s">
        <v>224</v>
      </c>
      <c r="D26" s="163" t="s">
        <v>251</v>
      </c>
      <c r="E26" s="168">
        <v>500.0</v>
      </c>
      <c r="F26" s="146"/>
      <c r="G26" s="164"/>
      <c r="H26" s="147"/>
      <c r="I26" s="14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ht="22.5" customHeight="1">
      <c r="A27" s="143">
        <v>46082.0</v>
      </c>
      <c r="B27" s="163" t="s">
        <v>240</v>
      </c>
      <c r="C27" s="163" t="s">
        <v>243</v>
      </c>
      <c r="D27" s="163" t="s">
        <v>33</v>
      </c>
      <c r="E27" s="168">
        <v>500.0</v>
      </c>
      <c r="F27" s="146"/>
      <c r="G27" s="164"/>
      <c r="H27" s="147"/>
      <c r="I27" s="14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ht="22.5" customHeight="1">
      <c r="A28" s="143">
        <v>46082.0</v>
      </c>
      <c r="B28" s="163" t="s">
        <v>240</v>
      </c>
      <c r="C28" s="163" t="s">
        <v>224</v>
      </c>
      <c r="D28" s="163" t="s">
        <v>252</v>
      </c>
      <c r="E28" s="168">
        <v>300.0</v>
      </c>
      <c r="F28" s="146"/>
      <c r="G28" s="164"/>
      <c r="H28" s="147"/>
      <c r="I28" s="14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ht="22.5" customHeight="1">
      <c r="A29" s="169">
        <v>46082.0</v>
      </c>
      <c r="B29" s="170" t="s">
        <v>240</v>
      </c>
      <c r="C29" s="170" t="s">
        <v>31</v>
      </c>
      <c r="D29" s="170" t="s">
        <v>253</v>
      </c>
      <c r="E29" s="171">
        <v>100.0</v>
      </c>
      <c r="F29" s="172"/>
      <c r="G29" s="173"/>
      <c r="H29" s="174"/>
      <c r="I29" s="148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ht="22.5" hidden="1" customHeight="1">
      <c r="A30" s="175">
        <v>46113.0</v>
      </c>
      <c r="B30" s="176" t="s">
        <v>217</v>
      </c>
      <c r="C30" s="177" t="s">
        <v>218</v>
      </c>
      <c r="D30" s="177" t="s">
        <v>244</v>
      </c>
      <c r="E30" s="178">
        <v>15000.0</v>
      </c>
      <c r="F30" s="179"/>
      <c r="G30" s="180"/>
      <c r="H30" s="181"/>
      <c r="I30" s="14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ht="22.5" hidden="1" customHeight="1">
      <c r="A31" s="182">
        <v>46113.0</v>
      </c>
      <c r="B31" s="183" t="s">
        <v>217</v>
      </c>
      <c r="C31" s="183" t="s">
        <v>218</v>
      </c>
      <c r="D31" s="183" t="s">
        <v>254</v>
      </c>
      <c r="E31" s="184">
        <v>5000.0</v>
      </c>
      <c r="F31" s="146"/>
      <c r="G31" s="164"/>
      <c r="H31" s="147"/>
      <c r="I31" s="148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22.5" hidden="1" customHeight="1">
      <c r="A32" s="167">
        <v>46113.0</v>
      </c>
      <c r="B32" s="185" t="s">
        <v>240</v>
      </c>
      <c r="C32" s="185" t="s">
        <v>224</v>
      </c>
      <c r="D32" s="185" t="s">
        <v>255</v>
      </c>
      <c r="E32" s="186">
        <v>500.0</v>
      </c>
      <c r="F32" s="146"/>
      <c r="G32" s="164"/>
      <c r="H32" s="147"/>
      <c r="I32" s="148"/>
      <c r="J32" s="187" t="s">
        <v>53</v>
      </c>
      <c r="K32" s="187" t="s">
        <v>256</v>
      </c>
      <c r="L32" s="187" t="s">
        <v>257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22.5" hidden="1" customHeight="1">
      <c r="A33" s="182"/>
      <c r="B33" s="188"/>
      <c r="C33" s="188"/>
      <c r="D33" s="188"/>
      <c r="E33" s="184"/>
      <c r="F33" s="146"/>
      <c r="G33" s="164"/>
      <c r="H33" s="147"/>
      <c r="I33" s="148"/>
      <c r="J33" s="7">
        <f>48119-E30-E31</f>
        <v>28119</v>
      </c>
      <c r="K33" s="189">
        <v>4.0</v>
      </c>
      <c r="L33" s="190">
        <f>3570-E32</f>
        <v>3070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ht="22.5" hidden="1" customHeight="1">
      <c r="A34" s="167"/>
      <c r="B34" s="191"/>
      <c r="C34" s="185"/>
      <c r="D34" s="185"/>
      <c r="E34" s="186"/>
      <c r="F34" s="146"/>
      <c r="G34" s="164"/>
      <c r="H34" s="147"/>
      <c r="I34" s="148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ht="22.5" hidden="1" customHeight="1">
      <c r="A35" s="182"/>
      <c r="B35" s="183"/>
      <c r="C35" s="183"/>
      <c r="D35" s="183"/>
      <c r="E35" s="184"/>
      <c r="F35" s="146"/>
      <c r="G35" s="164"/>
      <c r="H35" s="147"/>
      <c r="I35" s="148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ht="22.5" hidden="1" customHeight="1">
      <c r="A36" s="167"/>
      <c r="B36" s="185"/>
      <c r="C36" s="185"/>
      <c r="D36" s="185"/>
      <c r="E36" s="186"/>
      <c r="F36" s="146"/>
      <c r="G36" s="164"/>
      <c r="H36" s="147"/>
      <c r="I36" s="148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ht="22.5" hidden="1" customHeight="1">
      <c r="A37" s="182"/>
      <c r="B37" s="188"/>
      <c r="C37" s="188"/>
      <c r="D37" s="188"/>
      <c r="E37" s="184"/>
      <c r="F37" s="146"/>
      <c r="G37" s="164"/>
      <c r="H37" s="147"/>
      <c r="I37" s="148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ht="22.5" hidden="1" customHeight="1">
      <c r="A38" s="167"/>
      <c r="B38" s="191"/>
      <c r="C38" s="185"/>
      <c r="D38" s="185"/>
      <c r="E38" s="186"/>
      <c r="F38" s="146"/>
      <c r="G38" s="164"/>
      <c r="H38" s="147"/>
      <c r="I38" s="148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22.5" hidden="1" customHeight="1">
      <c r="A39" s="182"/>
      <c r="B39" s="183"/>
      <c r="C39" s="183"/>
      <c r="D39" s="183"/>
      <c r="E39" s="184"/>
      <c r="F39" s="146"/>
      <c r="G39" s="164"/>
      <c r="H39" s="147"/>
      <c r="I39" s="148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ht="22.5" hidden="1" customHeight="1">
      <c r="A40" s="167"/>
      <c r="B40" s="185"/>
      <c r="C40" s="185"/>
      <c r="D40" s="185"/>
      <c r="E40" s="186"/>
      <c r="F40" s="146"/>
      <c r="G40" s="164"/>
      <c r="H40" s="147"/>
      <c r="I40" s="148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>
      <c r="A41" s="20"/>
      <c r="B41" s="20"/>
      <c r="C41" s="125"/>
      <c r="D41" s="125"/>
      <c r="E41" s="125"/>
      <c r="F41" s="125"/>
      <c r="G41" s="125"/>
      <c r="H41" s="20"/>
      <c r="I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>
      <c r="A42" s="192"/>
      <c r="B42" s="192"/>
      <c r="C42" s="192"/>
      <c r="D42" s="192"/>
      <c r="E42" s="192"/>
      <c r="F42" s="192"/>
      <c r="G42" s="192"/>
      <c r="H42" s="192"/>
      <c r="I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>
      <c r="A43" s="192"/>
      <c r="B43" s="192"/>
      <c r="C43" s="192"/>
      <c r="D43" s="192"/>
      <c r="E43" s="192"/>
      <c r="F43" s="192"/>
      <c r="G43" s="192"/>
      <c r="H43" s="192"/>
      <c r="I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>
      <c r="A44" s="192"/>
      <c r="B44" s="192"/>
      <c r="C44" s="192"/>
      <c r="D44" s="192"/>
      <c r="E44" s="192"/>
      <c r="F44" s="192"/>
      <c r="G44" s="192"/>
      <c r="H44" s="192"/>
      <c r="I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>
      <c r="A45" s="192"/>
      <c r="B45" s="192"/>
      <c r="C45" s="192"/>
      <c r="D45" s="192"/>
      <c r="E45" s="192"/>
      <c r="F45" s="192"/>
      <c r="G45" s="192"/>
      <c r="H45" s="192"/>
      <c r="I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>
      <c r="A46" s="192"/>
      <c r="B46" s="192"/>
      <c r="C46" s="192"/>
      <c r="D46" s="192"/>
      <c r="E46" s="192"/>
      <c r="F46" s="192"/>
      <c r="G46" s="192"/>
      <c r="H46" s="192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>
      <c r="A47" s="192"/>
      <c r="B47" s="192"/>
      <c r="C47" s="192"/>
      <c r="D47" s="192"/>
      <c r="E47" s="192"/>
      <c r="F47" s="192"/>
      <c r="G47" s="192"/>
      <c r="H47" s="192"/>
      <c r="I47" s="20"/>
      <c r="J47" s="20"/>
      <c r="K47" s="193"/>
      <c r="L47" s="193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>
      <c r="A48" s="192"/>
      <c r="B48" s="192"/>
      <c r="C48" s="192"/>
      <c r="D48" s="192"/>
      <c r="E48" s="192"/>
      <c r="F48" s="192"/>
      <c r="G48" s="192"/>
      <c r="H48" s="192"/>
      <c r="I48" s="20"/>
      <c r="J48" s="20"/>
      <c r="K48" s="193"/>
      <c r="L48" s="193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>
      <c r="A49" s="192"/>
      <c r="B49" s="192"/>
      <c r="C49" s="192"/>
      <c r="D49" s="192"/>
      <c r="E49" s="192"/>
      <c r="F49" s="192"/>
      <c r="G49" s="192"/>
      <c r="H49" s="192"/>
      <c r="I49" s="20"/>
      <c r="J49" s="20"/>
      <c r="K49" s="193"/>
      <c r="L49" s="193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192"/>
      <c r="B50" s="192"/>
      <c r="C50" s="192"/>
      <c r="D50" s="192"/>
      <c r="E50" s="192"/>
      <c r="F50" s="192"/>
      <c r="G50" s="192"/>
      <c r="H50" s="192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>
      <c r="A51" s="192"/>
      <c r="B51" s="192"/>
      <c r="C51" s="192"/>
      <c r="D51" s="192"/>
      <c r="E51" s="192"/>
      <c r="F51" s="192"/>
      <c r="G51" s="192"/>
      <c r="H51" s="192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>
      <c r="A52" s="192"/>
      <c r="B52" s="192"/>
      <c r="C52" s="192"/>
      <c r="D52" s="192"/>
      <c r="E52" s="192"/>
      <c r="F52" s="192"/>
      <c r="G52" s="192"/>
      <c r="H52" s="192"/>
      <c r="I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>
      <c r="A53" s="192"/>
      <c r="B53" s="192"/>
      <c r="C53" s="192"/>
      <c r="D53" s="192"/>
      <c r="E53" s="192"/>
      <c r="F53" s="192"/>
      <c r="G53" s="192"/>
      <c r="H53" s="192"/>
      <c r="I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>
      <c r="A54" s="192"/>
      <c r="B54" s="192"/>
      <c r="C54" s="192"/>
      <c r="D54" s="192"/>
      <c r="E54" s="192"/>
      <c r="F54" s="192"/>
      <c r="G54" s="192"/>
      <c r="H54" s="192"/>
      <c r="I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>
      <c r="A55" s="192"/>
      <c r="B55" s="192"/>
      <c r="C55" s="192"/>
      <c r="D55" s="192"/>
      <c r="E55" s="192"/>
      <c r="F55" s="192"/>
      <c r="G55" s="192"/>
      <c r="H55" s="192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>
      <c r="A56" s="192"/>
      <c r="B56" s="192"/>
      <c r="C56" s="192"/>
      <c r="D56" s="192"/>
      <c r="E56" s="192"/>
      <c r="F56" s="192"/>
      <c r="G56" s="192"/>
      <c r="H56" s="192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>
      <c r="A57" s="20"/>
      <c r="B57" s="20"/>
      <c r="C57" s="20"/>
      <c r="D57" s="20"/>
      <c r="E57" s="125"/>
      <c r="F57" s="125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20"/>
      <c r="B58" s="20"/>
      <c r="F58" s="125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>
      <c r="A59" s="20"/>
      <c r="B59" s="20"/>
      <c r="C59" s="20"/>
      <c r="D59" s="20"/>
      <c r="E59" s="125"/>
      <c r="F59" s="125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>
      <c r="A60" s="20"/>
      <c r="B60" s="20"/>
      <c r="C60" s="20"/>
      <c r="D60" s="20"/>
      <c r="E60" s="125"/>
      <c r="F60" s="125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>
      <c r="A61" s="20"/>
      <c r="B61" s="20"/>
      <c r="C61" s="20"/>
      <c r="D61" s="20"/>
      <c r="E61" s="125"/>
      <c r="F61" s="125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>
      <c r="A62" s="20"/>
      <c r="B62" s="20"/>
      <c r="C62" s="20"/>
      <c r="D62" s="20"/>
      <c r="E62" s="125"/>
      <c r="F62" s="125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>
      <c r="A63" s="20"/>
      <c r="B63" s="20"/>
      <c r="C63" s="20"/>
      <c r="D63" s="20"/>
      <c r="E63" s="125"/>
      <c r="F63" s="125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>
      <c r="A64" s="20"/>
      <c r="B64" s="20"/>
      <c r="C64" s="20"/>
      <c r="D64" s="20"/>
      <c r="E64" s="125"/>
      <c r="F64" s="125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20"/>
      <c r="B65" s="20"/>
      <c r="C65" s="20"/>
      <c r="D65" s="20"/>
      <c r="E65" s="125"/>
      <c r="F65" s="125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>
      <c r="A66" s="20"/>
      <c r="B66" s="20"/>
      <c r="C66" s="20"/>
      <c r="D66" s="20"/>
      <c r="E66" s="125"/>
      <c r="F66" s="125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>
      <c r="A67" s="20"/>
      <c r="B67" s="20"/>
      <c r="C67" s="20"/>
      <c r="D67" s="20"/>
      <c r="E67" s="125"/>
      <c r="F67" s="125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>
      <c r="A68" s="20"/>
      <c r="B68" s="20"/>
      <c r="C68" s="20"/>
      <c r="D68" s="20"/>
      <c r="E68" s="125"/>
      <c r="F68" s="125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>
      <c r="A69" s="20"/>
      <c r="B69" s="20"/>
      <c r="C69" s="20"/>
      <c r="D69" s="20"/>
      <c r="E69" s="125"/>
      <c r="F69" s="125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>
      <c r="A70" s="20"/>
      <c r="B70" s="20"/>
      <c r="C70" s="20"/>
      <c r="D70" s="20"/>
      <c r="E70" s="125"/>
      <c r="F70" s="125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>
      <c r="A71" s="20"/>
      <c r="B71" s="20"/>
      <c r="C71" s="20"/>
      <c r="D71" s="20"/>
      <c r="E71" s="125"/>
      <c r="F71" s="125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20"/>
      <c r="B72" s="20"/>
      <c r="C72" s="20"/>
      <c r="D72" s="20"/>
      <c r="E72" s="125"/>
      <c r="F72" s="125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20"/>
      <c r="B73" s="20"/>
      <c r="C73" s="20"/>
      <c r="D73" s="20"/>
      <c r="E73" s="125"/>
      <c r="F73" s="125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>
      <c r="A74" s="20"/>
      <c r="B74" s="20"/>
      <c r="C74" s="20"/>
      <c r="D74" s="20"/>
      <c r="E74" s="125"/>
      <c r="F74" s="125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>
      <c r="A75" s="20"/>
      <c r="B75" s="20"/>
      <c r="C75" s="20"/>
      <c r="D75" s="20"/>
      <c r="E75" s="125"/>
      <c r="F75" s="125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>
      <c r="A76" s="20"/>
      <c r="B76" s="20"/>
      <c r="C76" s="20"/>
      <c r="D76" s="20"/>
      <c r="E76" s="125"/>
      <c r="F76" s="125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>
      <c r="A77" s="20"/>
      <c r="B77" s="20"/>
      <c r="C77" s="20"/>
      <c r="D77" s="20"/>
      <c r="E77" s="125"/>
      <c r="F77" s="125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20"/>
      <c r="B78" s="20"/>
      <c r="C78" s="20"/>
      <c r="D78" s="20"/>
      <c r="E78" s="125"/>
      <c r="F78" s="125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20"/>
      <c r="B79" s="20"/>
      <c r="C79" s="20"/>
      <c r="D79" s="20"/>
      <c r="E79" s="125"/>
      <c r="F79" s="125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>
      <c r="A80" s="20"/>
      <c r="B80" s="20"/>
      <c r="C80" s="20"/>
      <c r="D80" s="20"/>
      <c r="E80" s="125"/>
      <c r="F80" s="125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>
      <c r="A81" s="20"/>
      <c r="B81" s="20"/>
      <c r="C81" s="20"/>
      <c r="D81" s="20"/>
      <c r="E81" s="125"/>
      <c r="F81" s="125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>
      <c r="A82" s="20"/>
      <c r="B82" s="20"/>
      <c r="C82" s="20"/>
      <c r="D82" s="20"/>
      <c r="E82" s="125"/>
      <c r="F82" s="125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20"/>
      <c r="B83" s="20"/>
      <c r="C83" s="20"/>
      <c r="D83" s="20"/>
      <c r="E83" s="125"/>
      <c r="F83" s="125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20"/>
      <c r="B84" s="20"/>
      <c r="C84" s="20"/>
      <c r="D84" s="20"/>
      <c r="E84" s="125"/>
      <c r="F84" s="125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>
      <c r="A85" s="20"/>
      <c r="B85" s="20"/>
      <c r="C85" s="20"/>
      <c r="D85" s="20"/>
      <c r="E85" s="125"/>
      <c r="F85" s="125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>
      <c r="A86" s="20"/>
      <c r="B86" s="20"/>
      <c r="C86" s="20"/>
      <c r="D86" s="20"/>
      <c r="E86" s="125"/>
      <c r="F86" s="125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20"/>
      <c r="B87" s="20"/>
      <c r="C87" s="20"/>
      <c r="D87" s="20"/>
      <c r="E87" s="125"/>
      <c r="F87" s="125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20"/>
      <c r="B88" s="20"/>
      <c r="C88" s="20"/>
      <c r="D88" s="20"/>
      <c r="E88" s="125"/>
      <c r="F88" s="125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20"/>
      <c r="B89" s="20"/>
      <c r="C89" s="20"/>
      <c r="D89" s="20"/>
      <c r="E89" s="125"/>
      <c r="F89" s="125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20"/>
      <c r="B90" s="20"/>
      <c r="C90" s="20"/>
      <c r="D90" s="20"/>
      <c r="E90" s="125"/>
      <c r="F90" s="125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>
      <c r="A91" s="20"/>
      <c r="B91" s="20"/>
      <c r="C91" s="20"/>
      <c r="D91" s="20"/>
      <c r="E91" s="125"/>
      <c r="F91" s="125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>
      <c r="A92" s="20"/>
      <c r="B92" s="20"/>
      <c r="C92" s="20"/>
      <c r="D92" s="20"/>
      <c r="E92" s="125"/>
      <c r="F92" s="125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20"/>
      <c r="B93" s="20"/>
      <c r="C93" s="20"/>
      <c r="D93" s="20"/>
      <c r="E93" s="125"/>
      <c r="F93" s="125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20"/>
      <c r="B94" s="20"/>
      <c r="C94" s="20"/>
      <c r="D94" s="20"/>
      <c r="E94" s="125"/>
      <c r="F94" s="125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20"/>
      <c r="B95" s="20"/>
      <c r="C95" s="20"/>
      <c r="D95" s="20"/>
      <c r="E95" s="125"/>
      <c r="F95" s="125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20"/>
      <c r="B96" s="20"/>
      <c r="C96" s="20"/>
      <c r="D96" s="20"/>
      <c r="E96" s="125"/>
      <c r="F96" s="125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>
      <c r="A97" s="20"/>
      <c r="B97" s="20"/>
      <c r="C97" s="20"/>
      <c r="D97" s="20"/>
      <c r="E97" s="125"/>
      <c r="F97" s="125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>
      <c r="A98" s="20"/>
      <c r="B98" s="20"/>
      <c r="C98" s="20"/>
      <c r="D98" s="20"/>
      <c r="E98" s="125"/>
      <c r="F98" s="125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>
      <c r="A99" s="20"/>
      <c r="B99" s="20"/>
      <c r="C99" s="20"/>
      <c r="D99" s="20"/>
      <c r="E99" s="125"/>
      <c r="F99" s="125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>
      <c r="A100" s="20"/>
      <c r="B100" s="20"/>
      <c r="C100" s="20"/>
      <c r="D100" s="20"/>
      <c r="E100" s="125"/>
      <c r="F100" s="12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20"/>
      <c r="B101" s="20"/>
      <c r="C101" s="20"/>
      <c r="D101" s="20"/>
      <c r="E101" s="125"/>
      <c r="F101" s="125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>
      <c r="A102" s="20"/>
      <c r="B102" s="20"/>
      <c r="C102" s="20"/>
      <c r="D102" s="20"/>
      <c r="E102" s="125"/>
      <c r="F102" s="125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20"/>
      <c r="B103" s="20"/>
      <c r="C103" s="20"/>
      <c r="D103" s="20"/>
      <c r="E103" s="125"/>
      <c r="F103" s="125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20"/>
      <c r="B104" s="20"/>
      <c r="C104" s="20"/>
      <c r="D104" s="20"/>
      <c r="E104" s="125"/>
      <c r="F104" s="125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>
      <c r="A105" s="20"/>
      <c r="B105" s="20"/>
      <c r="C105" s="20"/>
      <c r="D105" s="20"/>
      <c r="E105" s="125"/>
      <c r="F105" s="125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>
      <c r="A106" s="20"/>
      <c r="B106" s="20"/>
      <c r="C106" s="20"/>
      <c r="D106" s="20"/>
      <c r="E106" s="125"/>
      <c r="F106" s="125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>
      <c r="A107" s="20"/>
      <c r="B107" s="20"/>
      <c r="C107" s="20"/>
      <c r="D107" s="20"/>
      <c r="E107" s="125"/>
      <c r="F107" s="125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20"/>
      <c r="B108" s="20"/>
      <c r="C108" s="20"/>
      <c r="D108" s="20"/>
      <c r="E108" s="125"/>
      <c r="F108" s="125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20"/>
      <c r="B109" s="20"/>
      <c r="C109" s="20"/>
      <c r="D109" s="20"/>
      <c r="E109" s="125"/>
      <c r="F109" s="125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20"/>
      <c r="B110" s="20"/>
      <c r="C110" s="20"/>
      <c r="D110" s="20"/>
      <c r="E110" s="125"/>
      <c r="F110" s="125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20"/>
      <c r="B111" s="20"/>
      <c r="C111" s="20"/>
      <c r="D111" s="20"/>
      <c r="E111" s="125"/>
      <c r="F111" s="125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20"/>
      <c r="B112" s="20"/>
      <c r="C112" s="20"/>
      <c r="D112" s="20"/>
      <c r="E112" s="125"/>
      <c r="F112" s="125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20"/>
      <c r="B113" s="20"/>
      <c r="C113" s="20"/>
      <c r="D113" s="20"/>
      <c r="E113" s="125"/>
      <c r="F113" s="125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>
      <c r="A114" s="20"/>
      <c r="B114" s="20"/>
      <c r="C114" s="20"/>
      <c r="D114" s="20"/>
      <c r="E114" s="125"/>
      <c r="F114" s="125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20"/>
      <c r="B115" s="20"/>
      <c r="C115" s="20"/>
      <c r="D115" s="20"/>
      <c r="E115" s="125"/>
      <c r="F115" s="125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20"/>
      <c r="B116" s="20"/>
      <c r="C116" s="20"/>
      <c r="D116" s="20"/>
      <c r="E116" s="125"/>
      <c r="F116" s="125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>
      <c r="A117" s="20"/>
      <c r="B117" s="20"/>
      <c r="C117" s="20"/>
      <c r="D117" s="20"/>
      <c r="E117" s="125"/>
      <c r="F117" s="125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>
      <c r="A118" s="20"/>
      <c r="B118" s="20"/>
      <c r="C118" s="20"/>
      <c r="D118" s="20"/>
      <c r="E118" s="125"/>
      <c r="F118" s="125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>
      <c r="A119" s="20"/>
      <c r="B119" s="20"/>
      <c r="C119" s="20"/>
      <c r="D119" s="20"/>
      <c r="E119" s="125"/>
      <c r="F119" s="125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>
      <c r="A120" s="20"/>
      <c r="B120" s="20"/>
      <c r="C120" s="20"/>
      <c r="D120" s="20"/>
      <c r="E120" s="125"/>
      <c r="F120" s="125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>
      <c r="A121" s="20"/>
      <c r="B121" s="20"/>
      <c r="C121" s="20"/>
      <c r="D121" s="20"/>
      <c r="E121" s="125"/>
      <c r="F121" s="125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>
      <c r="A122" s="20"/>
      <c r="B122" s="20"/>
      <c r="C122" s="20"/>
      <c r="D122" s="20"/>
      <c r="E122" s="125"/>
      <c r="F122" s="125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>
      <c r="A123" s="20"/>
      <c r="B123" s="20"/>
      <c r="C123" s="20"/>
      <c r="D123" s="20"/>
      <c r="E123" s="125"/>
      <c r="F123" s="125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20"/>
      <c r="B124" s="20"/>
      <c r="C124" s="20"/>
      <c r="D124" s="20"/>
      <c r="E124" s="125"/>
      <c r="F124" s="125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20"/>
      <c r="B125" s="20"/>
      <c r="C125" s="20"/>
      <c r="D125" s="20"/>
      <c r="E125" s="125"/>
      <c r="F125" s="125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>
      <c r="A126" s="20"/>
      <c r="B126" s="20"/>
      <c r="C126" s="20"/>
      <c r="D126" s="20"/>
      <c r="E126" s="125"/>
      <c r="F126" s="125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>
      <c r="A127" s="20"/>
      <c r="B127" s="20"/>
      <c r="C127" s="20"/>
      <c r="D127" s="20"/>
      <c r="E127" s="125"/>
      <c r="F127" s="125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>
      <c r="A128" s="20"/>
      <c r="B128" s="20"/>
      <c r="C128" s="20"/>
      <c r="D128" s="20"/>
      <c r="E128" s="125"/>
      <c r="F128" s="125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>
      <c r="A129" s="20" t="s">
        <v>258</v>
      </c>
      <c r="B129" s="20"/>
      <c r="C129" s="20"/>
      <c r="D129" s="20"/>
      <c r="E129" s="125"/>
      <c r="F129" s="125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>
      <c r="A130" s="20"/>
      <c r="B130" s="20"/>
      <c r="C130" s="20"/>
      <c r="D130" s="20"/>
      <c r="E130" s="125"/>
      <c r="F130" s="125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>
      <c r="A131" s="20"/>
      <c r="B131" s="20"/>
      <c r="C131" s="20"/>
      <c r="D131" s="20"/>
      <c r="E131" s="125"/>
      <c r="F131" s="125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>
      <c r="A132" s="194" t="s">
        <v>259</v>
      </c>
      <c r="B132" s="20"/>
      <c r="C132" s="20"/>
      <c r="D132" s="20"/>
      <c r="E132" s="125"/>
      <c r="F132" s="125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>
      <c r="A133" s="20" t="s">
        <v>260</v>
      </c>
      <c r="B133" s="20"/>
      <c r="C133" s="20"/>
      <c r="D133" s="20"/>
      <c r="E133" s="125"/>
      <c r="F133" s="125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>
      <c r="A134" s="20" t="s">
        <v>261</v>
      </c>
      <c r="B134" s="20"/>
      <c r="C134" s="20"/>
      <c r="D134" s="20"/>
      <c r="E134" s="125"/>
      <c r="F134" s="125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20" t="s">
        <v>262</v>
      </c>
      <c r="B135" s="20"/>
      <c r="C135" s="20"/>
      <c r="D135" s="20"/>
      <c r="E135" s="125"/>
      <c r="F135" s="125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>
      <c r="A136" s="20" t="s">
        <v>263</v>
      </c>
      <c r="B136" s="20"/>
      <c r="C136" s="20"/>
      <c r="D136" s="20"/>
      <c r="E136" s="125"/>
      <c r="F136" s="125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>
      <c r="A137" s="20" t="s">
        <v>264</v>
      </c>
      <c r="B137" s="20"/>
      <c r="C137" s="20"/>
      <c r="D137" s="20"/>
      <c r="E137" s="125"/>
      <c r="F137" s="125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>
      <c r="A138" s="20" t="s">
        <v>265</v>
      </c>
      <c r="B138" s="20"/>
      <c r="C138" s="20"/>
      <c r="D138" s="20"/>
      <c r="E138" s="125"/>
      <c r="F138" s="125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>
      <c r="A139" s="20"/>
      <c r="B139" s="20"/>
      <c r="C139" s="20"/>
      <c r="D139" s="20"/>
      <c r="E139" s="125"/>
      <c r="F139" s="125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>
      <c r="A140" s="20"/>
      <c r="B140" s="20"/>
      <c r="C140" s="20"/>
      <c r="D140" s="20"/>
      <c r="E140" s="125"/>
      <c r="F140" s="125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>
      <c r="A141" s="20"/>
      <c r="B141" s="20"/>
      <c r="C141" s="20"/>
      <c r="D141" s="20"/>
      <c r="E141" s="125"/>
      <c r="F141" s="125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>
      <c r="A142" s="20"/>
      <c r="B142" s="20"/>
      <c r="C142" s="20"/>
      <c r="D142" s="20"/>
      <c r="E142" s="125"/>
      <c r="F142" s="125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>
      <c r="A143" s="20"/>
      <c r="B143" s="20"/>
      <c r="C143" s="20"/>
      <c r="D143" s="20"/>
      <c r="E143" s="125"/>
      <c r="F143" s="125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>
      <c r="A144" s="20"/>
      <c r="B144" s="20"/>
      <c r="C144" s="20"/>
      <c r="D144" s="20"/>
      <c r="E144" s="125"/>
      <c r="F144" s="125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>
      <c r="A145" s="20"/>
      <c r="B145" s="20"/>
      <c r="C145" s="20"/>
      <c r="D145" s="20"/>
      <c r="E145" s="125"/>
      <c r="F145" s="125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20"/>
      <c r="B146" s="20"/>
      <c r="C146" s="20"/>
      <c r="D146" s="20"/>
      <c r="E146" s="125"/>
      <c r="F146" s="125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>
      <c r="A147" s="20"/>
      <c r="B147" s="20"/>
      <c r="C147" s="20"/>
      <c r="D147" s="20"/>
      <c r="E147" s="125"/>
      <c r="F147" s="125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>
      <c r="A148" s="20"/>
      <c r="B148" s="20"/>
      <c r="C148" s="20"/>
      <c r="D148" s="20"/>
      <c r="E148" s="125"/>
      <c r="F148" s="125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>
      <c r="A149" s="20"/>
      <c r="B149" s="20"/>
      <c r="C149" s="20"/>
      <c r="D149" s="20"/>
      <c r="E149" s="125"/>
      <c r="F149" s="125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>
      <c r="A150" s="20"/>
      <c r="B150" s="20"/>
      <c r="C150" s="20"/>
      <c r="D150" s="20"/>
      <c r="E150" s="125"/>
      <c r="F150" s="125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>
      <c r="A151" s="20"/>
      <c r="B151" s="20"/>
      <c r="C151" s="20"/>
      <c r="D151" s="20"/>
      <c r="E151" s="125"/>
      <c r="F151" s="125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>
      <c r="A152" s="20"/>
      <c r="B152" s="20"/>
      <c r="C152" s="20"/>
      <c r="D152" s="20"/>
      <c r="E152" s="125"/>
      <c r="F152" s="125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>
      <c r="A153" s="20"/>
      <c r="B153" s="20"/>
      <c r="C153" s="20"/>
      <c r="D153" s="20"/>
      <c r="E153" s="125"/>
      <c r="F153" s="125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>
      <c r="A154" s="20"/>
      <c r="B154" s="20"/>
      <c r="C154" s="20"/>
      <c r="D154" s="20"/>
      <c r="E154" s="125"/>
      <c r="F154" s="125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20"/>
      <c r="B155" s="20"/>
      <c r="C155" s="20"/>
      <c r="D155" s="20"/>
      <c r="E155" s="125"/>
      <c r="F155" s="125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20"/>
      <c r="B156" s="20"/>
      <c r="C156" s="20"/>
      <c r="D156" s="20"/>
      <c r="E156" s="125"/>
      <c r="F156" s="125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>
      <c r="A157" s="20"/>
      <c r="B157" s="20"/>
      <c r="C157" s="20"/>
      <c r="D157" s="20"/>
      <c r="E157" s="125"/>
      <c r="F157" s="125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>
      <c r="A158" s="20"/>
      <c r="B158" s="20"/>
      <c r="C158" s="20"/>
      <c r="D158" s="20"/>
      <c r="E158" s="125"/>
      <c r="F158" s="125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>
      <c r="A159" s="20"/>
      <c r="B159" s="20"/>
      <c r="C159" s="20"/>
      <c r="D159" s="20"/>
      <c r="E159" s="125"/>
      <c r="F159" s="125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>
      <c r="A160" s="20"/>
      <c r="B160" s="20"/>
      <c r="C160" s="20"/>
      <c r="D160" s="20"/>
      <c r="E160" s="125"/>
      <c r="F160" s="125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>
      <c r="A161" s="20"/>
      <c r="B161" s="20"/>
      <c r="C161" s="20"/>
      <c r="D161" s="20"/>
      <c r="E161" s="125"/>
      <c r="F161" s="125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>
      <c r="A162" s="20"/>
      <c r="B162" s="20"/>
      <c r="C162" s="20"/>
      <c r="D162" s="20"/>
      <c r="E162" s="125"/>
      <c r="F162" s="125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>
      <c r="A163" s="20"/>
      <c r="B163" s="20"/>
      <c r="C163" s="20"/>
      <c r="D163" s="20"/>
      <c r="E163" s="125"/>
      <c r="F163" s="125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>
      <c r="A164" s="20"/>
      <c r="B164" s="20"/>
      <c r="C164" s="20"/>
      <c r="D164" s="20"/>
      <c r="E164" s="125"/>
      <c r="F164" s="125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>
      <c r="A165" s="20"/>
      <c r="B165" s="20"/>
      <c r="C165" s="20"/>
      <c r="D165" s="20"/>
      <c r="E165" s="125"/>
      <c r="F165" s="125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>
      <c r="A166" s="20"/>
      <c r="B166" s="20"/>
      <c r="C166" s="20"/>
      <c r="D166" s="20"/>
      <c r="E166" s="125"/>
      <c r="F166" s="125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>
      <c r="A167" s="20"/>
      <c r="B167" s="20"/>
      <c r="C167" s="20"/>
      <c r="D167" s="20"/>
      <c r="E167" s="125"/>
      <c r="F167" s="125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>
      <c r="A168" s="20"/>
      <c r="B168" s="20"/>
      <c r="C168" s="20"/>
      <c r="D168" s="20"/>
      <c r="E168" s="125"/>
      <c r="F168" s="125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>
      <c r="A169" s="20"/>
      <c r="B169" s="20"/>
      <c r="C169" s="20"/>
      <c r="D169" s="20"/>
      <c r="E169" s="125"/>
      <c r="F169" s="125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>
      <c r="A170" s="20"/>
      <c r="B170" s="20"/>
      <c r="C170" s="20"/>
      <c r="D170" s="20"/>
      <c r="E170" s="125"/>
      <c r="F170" s="125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>
      <c r="A171" s="20"/>
      <c r="B171" s="20"/>
      <c r="C171" s="20"/>
      <c r="D171" s="20"/>
      <c r="E171" s="125"/>
      <c r="F171" s="125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>
      <c r="A172" s="20"/>
      <c r="B172" s="20"/>
      <c r="C172" s="20"/>
      <c r="D172" s="20"/>
      <c r="E172" s="125"/>
      <c r="F172" s="125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>
      <c r="A173" s="20"/>
      <c r="B173" s="20"/>
      <c r="C173" s="20"/>
      <c r="D173" s="20"/>
      <c r="E173" s="125"/>
      <c r="F173" s="125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>
      <c r="A174" s="20"/>
      <c r="B174" s="20"/>
      <c r="C174" s="20"/>
      <c r="D174" s="20"/>
      <c r="E174" s="125"/>
      <c r="F174" s="125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>
      <c r="A175" s="20"/>
      <c r="B175" s="20"/>
      <c r="C175" s="20"/>
      <c r="D175" s="20"/>
      <c r="E175" s="125"/>
      <c r="F175" s="125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>
      <c r="A176" s="20"/>
      <c r="B176" s="20"/>
      <c r="C176" s="20"/>
      <c r="D176" s="20"/>
      <c r="E176" s="125"/>
      <c r="F176" s="125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>
      <c r="A177" s="20"/>
      <c r="B177" s="20"/>
      <c r="C177" s="20"/>
      <c r="D177" s="20"/>
      <c r="E177" s="125"/>
      <c r="F177" s="125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>
      <c r="A178" s="20"/>
      <c r="B178" s="20"/>
      <c r="C178" s="20"/>
      <c r="D178" s="20"/>
      <c r="E178" s="125"/>
      <c r="F178" s="125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>
      <c r="A179" s="20"/>
      <c r="B179" s="20"/>
      <c r="C179" s="20"/>
      <c r="D179" s="20"/>
      <c r="E179" s="125"/>
      <c r="F179" s="125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>
      <c r="A180" s="20"/>
      <c r="B180" s="20"/>
      <c r="C180" s="20"/>
      <c r="D180" s="20"/>
      <c r="E180" s="125"/>
      <c r="F180" s="125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20"/>
      <c r="B181" s="20"/>
      <c r="C181" s="20"/>
      <c r="D181" s="20"/>
      <c r="E181" s="125"/>
      <c r="F181" s="125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>
      <c r="A182" s="20"/>
      <c r="B182" s="20"/>
      <c r="C182" s="20"/>
      <c r="D182" s="20"/>
      <c r="E182" s="125"/>
      <c r="F182" s="125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>
      <c r="A183" s="20"/>
      <c r="B183" s="20"/>
      <c r="C183" s="20"/>
      <c r="D183" s="20"/>
      <c r="E183" s="125"/>
      <c r="F183" s="125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>
      <c r="A184" s="20"/>
      <c r="B184" s="20"/>
      <c r="C184" s="20"/>
      <c r="D184" s="20"/>
      <c r="E184" s="125"/>
      <c r="F184" s="125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>
      <c r="A185" s="20"/>
      <c r="B185" s="20"/>
      <c r="C185" s="20"/>
      <c r="D185" s="20"/>
      <c r="E185" s="125"/>
      <c r="F185" s="125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>
      <c r="A186" s="20"/>
      <c r="B186" s="20"/>
      <c r="C186" s="20"/>
      <c r="D186" s="20"/>
      <c r="E186" s="125"/>
      <c r="F186" s="125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>
      <c r="A187" s="20"/>
      <c r="B187" s="20"/>
      <c r="C187" s="20"/>
      <c r="D187" s="20"/>
      <c r="E187" s="125"/>
      <c r="F187" s="125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>
      <c r="A188" s="20"/>
      <c r="B188" s="20"/>
      <c r="C188" s="20"/>
      <c r="D188" s="20"/>
      <c r="E188" s="125"/>
      <c r="F188" s="125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>
      <c r="A189" s="20"/>
      <c r="B189" s="20"/>
      <c r="C189" s="20"/>
      <c r="D189" s="20"/>
      <c r="E189" s="125"/>
      <c r="F189" s="125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>
      <c r="A190" s="20"/>
      <c r="B190" s="20"/>
      <c r="C190" s="20"/>
      <c r="D190" s="20"/>
      <c r="E190" s="125"/>
      <c r="F190" s="125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>
      <c r="A191" s="20"/>
      <c r="B191" s="20"/>
      <c r="C191" s="20"/>
      <c r="D191" s="20"/>
      <c r="E191" s="125"/>
      <c r="F191" s="125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>
      <c r="A192" s="20"/>
      <c r="B192" s="20"/>
      <c r="C192" s="20"/>
      <c r="D192" s="20"/>
      <c r="E192" s="125"/>
      <c r="F192" s="125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>
      <c r="A193" s="20"/>
      <c r="B193" s="20"/>
      <c r="C193" s="20"/>
      <c r="D193" s="20"/>
      <c r="E193" s="125"/>
      <c r="F193" s="125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>
      <c r="A194" s="20"/>
      <c r="B194" s="20"/>
      <c r="C194" s="20"/>
      <c r="D194" s="20"/>
      <c r="E194" s="125"/>
      <c r="F194" s="125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>
      <c r="A195" s="20"/>
      <c r="B195" s="20"/>
      <c r="C195" s="20"/>
      <c r="D195" s="20"/>
      <c r="E195" s="125"/>
      <c r="F195" s="125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>
      <c r="A196" s="20"/>
      <c r="B196" s="20"/>
      <c r="C196" s="20"/>
      <c r="D196" s="20"/>
      <c r="E196" s="125"/>
      <c r="F196" s="125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>
      <c r="A197" s="20"/>
      <c r="B197" s="20"/>
      <c r="C197" s="20"/>
      <c r="D197" s="20"/>
      <c r="E197" s="125"/>
      <c r="F197" s="125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>
      <c r="A198" s="20"/>
      <c r="B198" s="20"/>
      <c r="C198" s="20"/>
      <c r="D198" s="20"/>
      <c r="E198" s="125"/>
      <c r="F198" s="125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>
      <c r="A199" s="20"/>
      <c r="B199" s="20"/>
      <c r="C199" s="20"/>
      <c r="D199" s="20"/>
      <c r="E199" s="125"/>
      <c r="F199" s="125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>
      <c r="A200" s="20"/>
      <c r="B200" s="20"/>
      <c r="C200" s="20"/>
      <c r="D200" s="20"/>
      <c r="E200" s="125"/>
      <c r="F200" s="125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>
      <c r="A201" s="20"/>
      <c r="B201" s="20"/>
      <c r="C201" s="20"/>
      <c r="D201" s="20"/>
      <c r="E201" s="125"/>
      <c r="F201" s="125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>
      <c r="A202" s="20"/>
      <c r="B202" s="20"/>
      <c r="C202" s="20"/>
      <c r="D202" s="20"/>
      <c r="E202" s="125"/>
      <c r="F202" s="125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>
      <c r="A203" s="20"/>
      <c r="B203" s="20"/>
      <c r="C203" s="20"/>
      <c r="D203" s="20"/>
      <c r="E203" s="125"/>
      <c r="F203" s="125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>
      <c r="A204" s="20"/>
      <c r="B204" s="20"/>
      <c r="C204" s="20"/>
      <c r="D204" s="20"/>
      <c r="E204" s="125"/>
      <c r="F204" s="125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>
      <c r="A205" s="20"/>
      <c r="B205" s="20"/>
      <c r="C205" s="20"/>
      <c r="D205" s="20"/>
      <c r="E205" s="125"/>
      <c r="F205" s="125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20"/>
      <c r="B206" s="20"/>
      <c r="C206" s="20"/>
      <c r="D206" s="20"/>
      <c r="E206" s="125"/>
      <c r="F206" s="125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>
      <c r="A207" s="20"/>
      <c r="B207" s="20"/>
      <c r="C207" s="20"/>
      <c r="D207" s="20"/>
      <c r="E207" s="125"/>
      <c r="F207" s="125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>
      <c r="A208" s="20"/>
      <c r="B208" s="20"/>
      <c r="C208" s="20"/>
      <c r="D208" s="20"/>
      <c r="E208" s="125"/>
      <c r="F208" s="125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>
      <c r="A209" s="20"/>
      <c r="B209" s="20"/>
      <c r="C209" s="20"/>
      <c r="D209" s="20"/>
      <c r="E209" s="125"/>
      <c r="F209" s="125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>
      <c r="A210" s="20"/>
      <c r="B210" s="20"/>
      <c r="C210" s="20"/>
      <c r="D210" s="20"/>
      <c r="E210" s="125"/>
      <c r="F210" s="125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>
      <c r="A211" s="20"/>
      <c r="B211" s="20"/>
      <c r="C211" s="20"/>
      <c r="D211" s="20"/>
      <c r="E211" s="125"/>
      <c r="F211" s="125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>
      <c r="A212" s="20"/>
      <c r="B212" s="20"/>
      <c r="C212" s="20"/>
      <c r="D212" s="20"/>
      <c r="E212" s="125"/>
      <c r="F212" s="125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>
      <c r="A213" s="20"/>
      <c r="B213" s="20"/>
      <c r="C213" s="20"/>
      <c r="D213" s="20"/>
      <c r="E213" s="125"/>
      <c r="F213" s="125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>
      <c r="A214" s="20"/>
      <c r="B214" s="20"/>
      <c r="C214" s="20"/>
      <c r="D214" s="20"/>
      <c r="E214" s="125"/>
      <c r="F214" s="125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>
      <c r="A215" s="20"/>
      <c r="B215" s="20"/>
      <c r="C215" s="20"/>
      <c r="D215" s="20"/>
      <c r="E215" s="125"/>
      <c r="F215" s="125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>
      <c r="A216" s="20"/>
      <c r="B216" s="20"/>
      <c r="C216" s="20"/>
      <c r="D216" s="20"/>
      <c r="E216" s="125"/>
      <c r="F216" s="125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>
      <c r="A217" s="20"/>
      <c r="B217" s="20"/>
      <c r="C217" s="20"/>
      <c r="D217" s="20"/>
      <c r="E217" s="125"/>
      <c r="F217" s="125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>
      <c r="A218" s="20"/>
      <c r="B218" s="20"/>
      <c r="C218" s="20"/>
      <c r="D218" s="20"/>
      <c r="E218" s="125"/>
      <c r="F218" s="125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>
      <c r="A219" s="20"/>
      <c r="B219" s="20"/>
      <c r="C219" s="20"/>
      <c r="D219" s="20"/>
      <c r="E219" s="125"/>
      <c r="F219" s="125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>
      <c r="A220" s="20"/>
      <c r="B220" s="20"/>
      <c r="C220" s="20"/>
      <c r="D220" s="20"/>
      <c r="E220" s="125"/>
      <c r="F220" s="125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>
      <c r="A221" s="20"/>
      <c r="B221" s="20"/>
      <c r="C221" s="20"/>
      <c r="D221" s="20"/>
      <c r="E221" s="125"/>
      <c r="F221" s="125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20"/>
      <c r="B222" s="20"/>
      <c r="C222" s="20"/>
      <c r="D222" s="20"/>
      <c r="E222" s="125"/>
      <c r="F222" s="125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>
      <c r="A223" s="20"/>
      <c r="B223" s="20"/>
      <c r="C223" s="20"/>
      <c r="D223" s="20"/>
      <c r="E223" s="125"/>
      <c r="F223" s="125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>
      <c r="A224" s="20"/>
      <c r="B224" s="20"/>
      <c r="C224" s="20"/>
      <c r="D224" s="20"/>
      <c r="E224" s="125"/>
      <c r="F224" s="125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20"/>
      <c r="B225" s="20"/>
      <c r="C225" s="20"/>
      <c r="D225" s="20"/>
      <c r="E225" s="125"/>
      <c r="F225" s="125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>
      <c r="A226" s="20"/>
      <c r="B226" s="20"/>
      <c r="C226" s="20"/>
      <c r="D226" s="20"/>
      <c r="E226" s="125"/>
      <c r="F226" s="125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>
      <c r="A227" s="20"/>
      <c r="B227" s="20"/>
      <c r="C227" s="20"/>
      <c r="D227" s="20"/>
      <c r="E227" s="125"/>
      <c r="F227" s="125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>
      <c r="A228" s="20"/>
      <c r="B228" s="20"/>
      <c r="C228" s="20"/>
      <c r="D228" s="20"/>
      <c r="E228" s="125"/>
      <c r="F228" s="125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20"/>
      <c r="B229" s="20"/>
      <c r="C229" s="20"/>
      <c r="D229" s="20"/>
      <c r="E229" s="125"/>
      <c r="F229" s="125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20"/>
      <c r="B230" s="20"/>
      <c r="C230" s="20"/>
      <c r="D230" s="20"/>
      <c r="E230" s="125"/>
      <c r="F230" s="125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>
      <c r="A231" s="20"/>
      <c r="B231" s="20"/>
      <c r="C231" s="20"/>
      <c r="D231" s="20"/>
      <c r="E231" s="125"/>
      <c r="F231" s="125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>
      <c r="A232" s="20"/>
      <c r="B232" s="20"/>
      <c r="C232" s="20"/>
      <c r="D232" s="20"/>
      <c r="E232" s="125"/>
      <c r="F232" s="125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20"/>
      <c r="B233" s="20"/>
      <c r="C233" s="20"/>
      <c r="D233" s="20"/>
      <c r="E233" s="125"/>
      <c r="F233" s="125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>
      <c r="A234" s="20"/>
      <c r="B234" s="20"/>
      <c r="C234" s="20"/>
      <c r="D234" s="20"/>
      <c r="E234" s="125"/>
      <c r="F234" s="125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>
      <c r="A235" s="20"/>
      <c r="B235" s="20"/>
      <c r="C235" s="20"/>
      <c r="D235" s="20"/>
      <c r="E235" s="125"/>
      <c r="F235" s="125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>
      <c r="A236" s="20"/>
      <c r="B236" s="20"/>
      <c r="C236" s="20"/>
      <c r="D236" s="20"/>
      <c r="E236" s="125"/>
      <c r="F236" s="125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>
      <c r="A237" s="20"/>
      <c r="B237" s="20"/>
      <c r="C237" s="20"/>
      <c r="D237" s="20"/>
      <c r="E237" s="125"/>
      <c r="F237" s="125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>
      <c r="A238" s="20"/>
      <c r="B238" s="20"/>
      <c r="C238" s="20"/>
      <c r="D238" s="20"/>
      <c r="E238" s="125"/>
      <c r="F238" s="125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>
      <c r="A239" s="20"/>
      <c r="B239" s="20"/>
      <c r="C239" s="20"/>
      <c r="D239" s="20"/>
      <c r="E239" s="125"/>
      <c r="F239" s="125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>
      <c r="A240" s="20"/>
      <c r="B240" s="20"/>
      <c r="C240" s="20"/>
      <c r="D240" s="20"/>
      <c r="E240" s="125"/>
      <c r="F240" s="125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>
      <c r="A241" s="20"/>
      <c r="B241" s="20"/>
      <c r="C241" s="20"/>
      <c r="D241" s="20"/>
      <c r="E241" s="125"/>
      <c r="F241" s="125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>
      <c r="A242" s="20"/>
      <c r="B242" s="20"/>
      <c r="C242" s="20"/>
      <c r="D242" s="20"/>
      <c r="E242" s="125"/>
      <c r="F242" s="125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>
      <c r="A243" s="20"/>
      <c r="B243" s="20"/>
      <c r="C243" s="20"/>
      <c r="D243" s="20"/>
      <c r="E243" s="125"/>
      <c r="F243" s="125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>
      <c r="A244" s="20"/>
      <c r="B244" s="20"/>
      <c r="C244" s="20"/>
      <c r="D244" s="20"/>
      <c r="E244" s="125"/>
      <c r="F244" s="125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>
      <c r="A245" s="20"/>
      <c r="B245" s="20"/>
      <c r="C245" s="20"/>
      <c r="D245" s="20"/>
      <c r="E245" s="125"/>
      <c r="F245" s="125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>
      <c r="A246" s="20"/>
      <c r="B246" s="20"/>
      <c r="C246" s="20"/>
      <c r="D246" s="20"/>
      <c r="E246" s="125"/>
      <c r="F246" s="125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>
      <c r="A247" s="20"/>
      <c r="B247" s="20"/>
      <c r="C247" s="20"/>
      <c r="D247" s="20"/>
      <c r="E247" s="125"/>
      <c r="F247" s="125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>
      <c r="A248" s="20"/>
      <c r="B248" s="20"/>
      <c r="C248" s="20"/>
      <c r="D248" s="20"/>
      <c r="E248" s="125"/>
      <c r="F248" s="125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>
      <c r="A249" s="20"/>
      <c r="B249" s="20"/>
      <c r="C249" s="20"/>
      <c r="D249" s="20"/>
      <c r="E249" s="125"/>
      <c r="F249" s="125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>
      <c r="A250" s="20"/>
      <c r="B250" s="20"/>
      <c r="C250" s="20"/>
      <c r="D250" s="20"/>
      <c r="E250" s="125"/>
      <c r="F250" s="125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>
      <c r="A251" s="20"/>
      <c r="B251" s="20"/>
      <c r="C251" s="20"/>
      <c r="D251" s="20"/>
      <c r="E251" s="125"/>
      <c r="F251" s="125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>
      <c r="A252" s="20"/>
      <c r="B252" s="20"/>
      <c r="C252" s="20"/>
      <c r="D252" s="20"/>
      <c r="E252" s="125"/>
      <c r="F252" s="125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>
      <c r="A253" s="20"/>
      <c r="B253" s="20"/>
      <c r="C253" s="20"/>
      <c r="D253" s="20"/>
      <c r="E253" s="125"/>
      <c r="F253" s="125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>
      <c r="A254" s="20"/>
      <c r="B254" s="20"/>
      <c r="C254" s="20"/>
      <c r="D254" s="20"/>
      <c r="E254" s="125"/>
      <c r="F254" s="125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>
      <c r="A255" s="20"/>
      <c r="B255" s="20"/>
      <c r="C255" s="20"/>
      <c r="D255" s="20"/>
      <c r="E255" s="125"/>
      <c r="F255" s="125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>
      <c r="A256" s="20"/>
      <c r="B256" s="20"/>
      <c r="C256" s="20"/>
      <c r="D256" s="20"/>
      <c r="E256" s="125"/>
      <c r="F256" s="125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>
      <c r="A257" s="20"/>
      <c r="B257" s="20"/>
      <c r="C257" s="20"/>
      <c r="D257" s="20"/>
      <c r="E257" s="125"/>
      <c r="F257" s="125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>
      <c r="A258" s="20"/>
      <c r="B258" s="20"/>
      <c r="C258" s="20"/>
      <c r="D258" s="20"/>
      <c r="E258" s="125"/>
      <c r="F258" s="125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>
      <c r="A259" s="20"/>
      <c r="B259" s="20"/>
      <c r="C259" s="20"/>
      <c r="D259" s="20"/>
      <c r="E259" s="125"/>
      <c r="F259" s="125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>
      <c r="A260" s="20"/>
      <c r="B260" s="20"/>
      <c r="C260" s="20"/>
      <c r="D260" s="20"/>
      <c r="E260" s="125"/>
      <c r="F260" s="125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>
      <c r="A261" s="20"/>
      <c r="B261" s="20"/>
      <c r="C261" s="20"/>
      <c r="D261" s="20"/>
      <c r="E261" s="125"/>
      <c r="F261" s="125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>
      <c r="A262" s="20"/>
      <c r="B262" s="20"/>
      <c r="C262" s="20"/>
      <c r="D262" s="20"/>
      <c r="E262" s="125"/>
      <c r="F262" s="125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20"/>
      <c r="B263" s="20"/>
      <c r="C263" s="20"/>
      <c r="D263" s="20"/>
      <c r="E263" s="125"/>
      <c r="F263" s="125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>
      <c r="A264" s="20"/>
      <c r="B264" s="20"/>
      <c r="C264" s="20"/>
      <c r="D264" s="20"/>
      <c r="E264" s="125"/>
      <c r="F264" s="125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20"/>
      <c r="B265" s="20"/>
      <c r="C265" s="20"/>
      <c r="D265" s="20"/>
      <c r="E265" s="125"/>
      <c r="F265" s="125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20"/>
      <c r="B266" s="20"/>
      <c r="C266" s="20"/>
      <c r="D266" s="20"/>
      <c r="E266" s="125"/>
      <c r="F266" s="125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20"/>
      <c r="B267" s="20"/>
      <c r="C267" s="20"/>
      <c r="D267" s="20"/>
      <c r="E267" s="125"/>
      <c r="F267" s="125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20"/>
      <c r="B268" s="20"/>
      <c r="C268" s="20"/>
      <c r="D268" s="20"/>
      <c r="E268" s="125"/>
      <c r="F268" s="125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20"/>
      <c r="B269" s="20"/>
      <c r="C269" s="20"/>
      <c r="D269" s="20"/>
      <c r="E269" s="125"/>
      <c r="F269" s="125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20"/>
      <c r="B270" s="20"/>
      <c r="C270" s="20"/>
      <c r="D270" s="20"/>
      <c r="E270" s="125"/>
      <c r="F270" s="125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20"/>
      <c r="B271" s="20"/>
      <c r="C271" s="20"/>
      <c r="D271" s="20"/>
      <c r="E271" s="125"/>
      <c r="F271" s="125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20"/>
      <c r="B272" s="20"/>
      <c r="C272" s="20"/>
      <c r="D272" s="20"/>
      <c r="E272" s="125"/>
      <c r="F272" s="125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20"/>
      <c r="B273" s="20"/>
      <c r="C273" s="20"/>
      <c r="D273" s="20"/>
      <c r="E273" s="125"/>
      <c r="F273" s="125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20"/>
      <c r="B274" s="20"/>
      <c r="C274" s="20"/>
      <c r="D274" s="20"/>
      <c r="E274" s="125"/>
      <c r="F274" s="125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20"/>
      <c r="B275" s="20"/>
      <c r="C275" s="20"/>
      <c r="D275" s="20"/>
      <c r="E275" s="125"/>
      <c r="F275" s="125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>
      <c r="A276" s="20"/>
      <c r="B276" s="20"/>
      <c r="C276" s="20"/>
      <c r="D276" s="20"/>
      <c r="E276" s="125"/>
      <c r="F276" s="125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>
      <c r="A277" s="20"/>
      <c r="B277" s="20"/>
      <c r="C277" s="20"/>
      <c r="D277" s="20"/>
      <c r="E277" s="125"/>
      <c r="F277" s="125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20"/>
      <c r="B278" s="20"/>
      <c r="C278" s="20"/>
      <c r="D278" s="20"/>
      <c r="E278" s="125"/>
      <c r="F278" s="125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>
      <c r="A279" s="20"/>
      <c r="B279" s="20"/>
      <c r="C279" s="20"/>
      <c r="D279" s="20"/>
      <c r="E279" s="125"/>
      <c r="F279" s="125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20"/>
      <c r="B280" s="20"/>
      <c r="C280" s="20"/>
      <c r="D280" s="20"/>
      <c r="E280" s="125"/>
      <c r="F280" s="125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>
      <c r="A281" s="20"/>
      <c r="B281" s="20"/>
      <c r="C281" s="20"/>
      <c r="D281" s="20"/>
      <c r="E281" s="125"/>
      <c r="F281" s="125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>
      <c r="A282" s="20"/>
      <c r="B282" s="20"/>
      <c r="C282" s="20"/>
      <c r="D282" s="20"/>
      <c r="E282" s="125"/>
      <c r="F282" s="125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20"/>
      <c r="B283" s="20"/>
      <c r="C283" s="20"/>
      <c r="D283" s="20"/>
      <c r="E283" s="125"/>
      <c r="F283" s="125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20"/>
      <c r="B284" s="20"/>
      <c r="C284" s="20"/>
      <c r="D284" s="20"/>
      <c r="E284" s="125"/>
      <c r="F284" s="125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20"/>
      <c r="B285" s="20"/>
      <c r="C285" s="20"/>
      <c r="D285" s="20"/>
      <c r="E285" s="125"/>
      <c r="F285" s="125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>
      <c r="A286" s="20"/>
      <c r="B286" s="20"/>
      <c r="C286" s="20"/>
      <c r="D286" s="20"/>
      <c r="E286" s="125"/>
      <c r="F286" s="125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>
      <c r="A287" s="20"/>
      <c r="B287" s="20"/>
      <c r="C287" s="20"/>
      <c r="D287" s="20"/>
      <c r="E287" s="125"/>
      <c r="F287" s="125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20"/>
      <c r="B288" s="20"/>
      <c r="C288" s="20"/>
      <c r="D288" s="20"/>
      <c r="E288" s="125"/>
      <c r="F288" s="125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20"/>
      <c r="B289" s="20"/>
      <c r="C289" s="20"/>
      <c r="D289" s="20"/>
      <c r="E289" s="125"/>
      <c r="F289" s="125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20"/>
      <c r="B290" s="20"/>
      <c r="C290" s="20"/>
      <c r="D290" s="20"/>
      <c r="E290" s="125"/>
      <c r="F290" s="125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20"/>
      <c r="B291" s="20"/>
      <c r="C291" s="20"/>
      <c r="D291" s="20"/>
      <c r="E291" s="125"/>
      <c r="F291" s="125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20"/>
      <c r="B292" s="20"/>
      <c r="C292" s="20"/>
      <c r="D292" s="20"/>
      <c r="E292" s="125"/>
      <c r="F292" s="125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20"/>
      <c r="B293" s="20"/>
      <c r="C293" s="20"/>
      <c r="D293" s="20"/>
      <c r="E293" s="125"/>
      <c r="F293" s="125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20"/>
      <c r="B294" s="20"/>
      <c r="C294" s="20"/>
      <c r="D294" s="20"/>
      <c r="E294" s="125"/>
      <c r="F294" s="125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20"/>
      <c r="B295" s="20"/>
      <c r="C295" s="20"/>
      <c r="D295" s="20"/>
      <c r="E295" s="125"/>
      <c r="F295" s="125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20"/>
      <c r="B296" s="20"/>
      <c r="C296" s="20"/>
      <c r="D296" s="20"/>
      <c r="E296" s="125"/>
      <c r="F296" s="125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20"/>
      <c r="B297" s="20"/>
      <c r="C297" s="20"/>
      <c r="D297" s="20"/>
      <c r="E297" s="125"/>
      <c r="F297" s="125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>
      <c r="A298" s="20"/>
      <c r="B298" s="20"/>
      <c r="C298" s="20"/>
      <c r="D298" s="20"/>
      <c r="E298" s="125"/>
      <c r="F298" s="125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20"/>
      <c r="B299" s="20"/>
      <c r="C299" s="20"/>
      <c r="D299" s="20"/>
      <c r="E299" s="125"/>
      <c r="F299" s="125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20"/>
      <c r="B300" s="20"/>
      <c r="C300" s="20"/>
      <c r="D300" s="20"/>
      <c r="E300" s="125"/>
      <c r="F300" s="125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20"/>
      <c r="B301" s="20"/>
      <c r="C301" s="20"/>
      <c r="D301" s="20"/>
      <c r="E301" s="125"/>
      <c r="F301" s="125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20"/>
      <c r="B302" s="20"/>
      <c r="C302" s="20"/>
      <c r="D302" s="20"/>
      <c r="E302" s="125"/>
      <c r="F302" s="125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20"/>
      <c r="B303" s="20"/>
      <c r="C303" s="20"/>
      <c r="D303" s="20"/>
      <c r="E303" s="125"/>
      <c r="F303" s="125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20"/>
      <c r="B304" s="20"/>
      <c r="C304" s="20"/>
      <c r="D304" s="20"/>
      <c r="E304" s="125"/>
      <c r="F304" s="125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20"/>
      <c r="B305" s="20"/>
      <c r="C305" s="20"/>
      <c r="D305" s="20"/>
      <c r="E305" s="125"/>
      <c r="F305" s="125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20"/>
      <c r="B306" s="20"/>
      <c r="C306" s="20"/>
      <c r="D306" s="20"/>
      <c r="E306" s="125"/>
      <c r="F306" s="125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20"/>
      <c r="B307" s="20"/>
      <c r="C307" s="20"/>
      <c r="D307" s="20"/>
      <c r="E307" s="125"/>
      <c r="F307" s="125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20"/>
      <c r="B308" s="20"/>
      <c r="C308" s="20"/>
      <c r="D308" s="20"/>
      <c r="E308" s="125"/>
      <c r="F308" s="125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20"/>
      <c r="B309" s="20"/>
      <c r="C309" s="20"/>
      <c r="D309" s="20"/>
      <c r="E309" s="125"/>
      <c r="F309" s="125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20"/>
      <c r="B310" s="20"/>
      <c r="C310" s="20"/>
      <c r="D310" s="20"/>
      <c r="E310" s="125"/>
      <c r="F310" s="125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20"/>
      <c r="B311" s="20"/>
      <c r="C311" s="20"/>
      <c r="D311" s="20"/>
      <c r="E311" s="125"/>
      <c r="F311" s="125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20"/>
      <c r="B312" s="20"/>
      <c r="C312" s="20"/>
      <c r="D312" s="20"/>
      <c r="E312" s="125"/>
      <c r="F312" s="125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>
      <c r="A313" s="20"/>
      <c r="B313" s="20"/>
      <c r="C313" s="20"/>
      <c r="D313" s="20"/>
      <c r="E313" s="125"/>
      <c r="F313" s="125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20"/>
      <c r="B314" s="20"/>
      <c r="C314" s="20"/>
      <c r="D314" s="20"/>
      <c r="E314" s="125"/>
      <c r="F314" s="125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20"/>
      <c r="B315" s="20"/>
      <c r="C315" s="20"/>
      <c r="D315" s="20"/>
      <c r="E315" s="125"/>
      <c r="F315" s="125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20"/>
      <c r="B316" s="20"/>
      <c r="C316" s="20"/>
      <c r="D316" s="20"/>
      <c r="E316" s="125"/>
      <c r="F316" s="125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20"/>
      <c r="B317" s="20"/>
      <c r="C317" s="20"/>
      <c r="D317" s="20"/>
      <c r="E317" s="125"/>
      <c r="F317" s="125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20"/>
      <c r="B318" s="20"/>
      <c r="C318" s="20"/>
      <c r="D318" s="20"/>
      <c r="E318" s="125"/>
      <c r="F318" s="125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20"/>
      <c r="B319" s="20"/>
      <c r="C319" s="20"/>
      <c r="D319" s="20"/>
      <c r="E319" s="125"/>
      <c r="F319" s="125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20"/>
      <c r="B320" s="20"/>
      <c r="C320" s="20"/>
      <c r="D320" s="20"/>
      <c r="E320" s="125"/>
      <c r="F320" s="125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>
      <c r="A321" s="20"/>
      <c r="B321" s="20"/>
      <c r="C321" s="20"/>
      <c r="D321" s="20"/>
      <c r="E321" s="125"/>
      <c r="F321" s="125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>
      <c r="A322" s="20"/>
      <c r="B322" s="20"/>
      <c r="C322" s="20"/>
      <c r="D322" s="20"/>
      <c r="E322" s="125"/>
      <c r="F322" s="125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>
      <c r="A323" s="20"/>
      <c r="B323" s="20"/>
      <c r="C323" s="20"/>
      <c r="D323" s="20"/>
      <c r="E323" s="125"/>
      <c r="F323" s="125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>
      <c r="A324" s="20"/>
      <c r="B324" s="20"/>
      <c r="C324" s="20"/>
      <c r="D324" s="20"/>
      <c r="E324" s="125"/>
      <c r="F324" s="125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>
      <c r="A325" s="20"/>
      <c r="B325" s="20"/>
      <c r="C325" s="20"/>
      <c r="D325" s="20"/>
      <c r="E325" s="125"/>
      <c r="F325" s="125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>
      <c r="A326" s="20"/>
      <c r="B326" s="20"/>
      <c r="C326" s="20"/>
      <c r="D326" s="20"/>
      <c r="E326" s="125"/>
      <c r="F326" s="125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>
      <c r="A327" s="20"/>
      <c r="B327" s="20"/>
      <c r="C327" s="20"/>
      <c r="D327" s="20"/>
      <c r="E327" s="125"/>
      <c r="F327" s="125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20"/>
      <c r="B328" s="20"/>
      <c r="C328" s="20"/>
      <c r="D328" s="20"/>
      <c r="E328" s="125"/>
      <c r="F328" s="125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20"/>
      <c r="B329" s="20"/>
      <c r="C329" s="20"/>
      <c r="D329" s="20"/>
      <c r="E329" s="125"/>
      <c r="F329" s="125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20"/>
      <c r="B330" s="20"/>
      <c r="C330" s="20"/>
      <c r="D330" s="20"/>
      <c r="E330" s="125"/>
      <c r="F330" s="125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20"/>
      <c r="B331" s="20"/>
      <c r="C331" s="20"/>
      <c r="D331" s="20"/>
      <c r="E331" s="125"/>
      <c r="F331" s="125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20"/>
      <c r="B332" s="20"/>
      <c r="C332" s="20"/>
      <c r="D332" s="20"/>
      <c r="E332" s="125"/>
      <c r="F332" s="125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20"/>
      <c r="B333" s="20"/>
      <c r="C333" s="20"/>
      <c r="D333" s="20"/>
      <c r="E333" s="125"/>
      <c r="F333" s="125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20"/>
      <c r="B334" s="20"/>
      <c r="C334" s="20"/>
      <c r="D334" s="20"/>
      <c r="E334" s="125"/>
      <c r="F334" s="125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20"/>
      <c r="B335" s="20"/>
      <c r="C335" s="20"/>
      <c r="D335" s="20"/>
      <c r="E335" s="125"/>
      <c r="F335" s="125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20"/>
      <c r="B336" s="20"/>
      <c r="C336" s="20"/>
      <c r="D336" s="20"/>
      <c r="E336" s="125"/>
      <c r="F336" s="125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20"/>
      <c r="B337" s="20"/>
      <c r="C337" s="20"/>
      <c r="D337" s="20"/>
      <c r="E337" s="125"/>
      <c r="F337" s="125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20"/>
      <c r="B338" s="20"/>
      <c r="C338" s="20"/>
      <c r="D338" s="20"/>
      <c r="E338" s="125"/>
      <c r="F338" s="125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20"/>
      <c r="B339" s="20"/>
      <c r="C339" s="20"/>
      <c r="D339" s="20"/>
      <c r="E339" s="125"/>
      <c r="F339" s="125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20"/>
      <c r="B340" s="20"/>
      <c r="C340" s="20"/>
      <c r="D340" s="20"/>
      <c r="E340" s="125"/>
      <c r="F340" s="125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20"/>
      <c r="B341" s="20"/>
      <c r="C341" s="20"/>
      <c r="D341" s="20"/>
      <c r="E341" s="125"/>
      <c r="F341" s="125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20"/>
      <c r="B342" s="20"/>
      <c r="C342" s="20"/>
      <c r="D342" s="20"/>
      <c r="E342" s="125"/>
      <c r="F342" s="125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20"/>
      <c r="B343" s="20"/>
      <c r="C343" s="20"/>
      <c r="D343" s="20"/>
      <c r="E343" s="125"/>
      <c r="F343" s="125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20"/>
      <c r="B344" s="20"/>
      <c r="C344" s="20"/>
      <c r="D344" s="20"/>
      <c r="E344" s="125"/>
      <c r="F344" s="125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20"/>
      <c r="B345" s="20"/>
      <c r="C345" s="20"/>
      <c r="D345" s="20"/>
      <c r="E345" s="125"/>
      <c r="F345" s="125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20"/>
      <c r="B346" s="20"/>
      <c r="C346" s="20"/>
      <c r="D346" s="20"/>
      <c r="E346" s="125"/>
      <c r="F346" s="125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20"/>
      <c r="B347" s="20"/>
      <c r="C347" s="20"/>
      <c r="D347" s="20"/>
      <c r="E347" s="125"/>
      <c r="F347" s="125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20"/>
      <c r="B348" s="20"/>
      <c r="C348" s="20"/>
      <c r="D348" s="20"/>
      <c r="E348" s="125"/>
      <c r="F348" s="125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20"/>
      <c r="B349" s="20"/>
      <c r="C349" s="20"/>
      <c r="D349" s="20"/>
      <c r="E349" s="125"/>
      <c r="F349" s="125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>
      <c r="A350" s="20"/>
      <c r="B350" s="20"/>
      <c r="C350" s="20"/>
      <c r="D350" s="20"/>
      <c r="E350" s="125"/>
      <c r="F350" s="125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20"/>
      <c r="B351" s="20"/>
      <c r="C351" s="20"/>
      <c r="D351" s="20"/>
      <c r="E351" s="125"/>
      <c r="F351" s="125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20"/>
      <c r="B352" s="20"/>
      <c r="C352" s="20"/>
      <c r="D352" s="20"/>
      <c r="E352" s="125"/>
      <c r="F352" s="125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>
      <c r="A353" s="20"/>
      <c r="B353" s="20"/>
      <c r="C353" s="20"/>
      <c r="D353" s="20"/>
      <c r="E353" s="125"/>
      <c r="F353" s="125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20"/>
      <c r="B354" s="20"/>
      <c r="C354" s="20"/>
      <c r="D354" s="20"/>
      <c r="E354" s="125"/>
      <c r="F354" s="125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20"/>
      <c r="B355" s="20"/>
      <c r="C355" s="20"/>
      <c r="D355" s="20"/>
      <c r="E355" s="125"/>
      <c r="F355" s="125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20"/>
      <c r="B356" s="20"/>
      <c r="C356" s="20"/>
      <c r="D356" s="20"/>
      <c r="E356" s="125"/>
      <c r="F356" s="125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20"/>
      <c r="B357" s="20"/>
      <c r="C357" s="20"/>
      <c r="D357" s="20"/>
      <c r="E357" s="125"/>
      <c r="F357" s="125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20"/>
      <c r="B358" s="20"/>
      <c r="C358" s="20"/>
      <c r="D358" s="20"/>
      <c r="E358" s="125"/>
      <c r="F358" s="125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20"/>
      <c r="B359" s="20"/>
      <c r="C359" s="20"/>
      <c r="D359" s="20"/>
      <c r="E359" s="125"/>
      <c r="F359" s="125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20"/>
      <c r="B360" s="20"/>
      <c r="C360" s="20"/>
      <c r="D360" s="20"/>
      <c r="E360" s="125"/>
      <c r="F360" s="125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20"/>
      <c r="B361" s="20"/>
      <c r="C361" s="20"/>
      <c r="D361" s="20"/>
      <c r="E361" s="125"/>
      <c r="F361" s="125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20"/>
      <c r="B362" s="20"/>
      <c r="C362" s="20"/>
      <c r="D362" s="20"/>
      <c r="E362" s="125"/>
      <c r="F362" s="125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20"/>
      <c r="B363" s="20"/>
      <c r="C363" s="20"/>
      <c r="D363" s="20"/>
      <c r="E363" s="125"/>
      <c r="F363" s="125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20"/>
      <c r="B364" s="20"/>
      <c r="C364" s="20"/>
      <c r="D364" s="20"/>
      <c r="E364" s="125"/>
      <c r="F364" s="125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20"/>
      <c r="B365" s="20"/>
      <c r="C365" s="20"/>
      <c r="D365" s="20"/>
      <c r="E365" s="125"/>
      <c r="F365" s="125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20"/>
      <c r="B366" s="20"/>
      <c r="C366" s="20"/>
      <c r="D366" s="20"/>
      <c r="E366" s="125"/>
      <c r="F366" s="125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20"/>
      <c r="B367" s="20"/>
      <c r="C367" s="20"/>
      <c r="D367" s="20"/>
      <c r="E367" s="125"/>
      <c r="F367" s="125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20"/>
      <c r="B368" s="20"/>
      <c r="C368" s="20"/>
      <c r="D368" s="20"/>
      <c r="E368" s="125"/>
      <c r="F368" s="125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20"/>
      <c r="B369" s="20"/>
      <c r="C369" s="20"/>
      <c r="D369" s="20"/>
      <c r="E369" s="125"/>
      <c r="F369" s="125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20"/>
      <c r="B370" s="20"/>
      <c r="C370" s="20"/>
      <c r="D370" s="20"/>
      <c r="E370" s="125"/>
      <c r="F370" s="125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20"/>
      <c r="B371" s="20"/>
      <c r="C371" s="20"/>
      <c r="D371" s="20"/>
      <c r="E371" s="125"/>
      <c r="F371" s="125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20"/>
      <c r="B372" s="20"/>
      <c r="C372" s="20"/>
      <c r="D372" s="20"/>
      <c r="E372" s="125"/>
      <c r="F372" s="125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20"/>
      <c r="B373" s="20"/>
      <c r="C373" s="20"/>
      <c r="D373" s="20"/>
      <c r="E373" s="125"/>
      <c r="F373" s="125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20"/>
      <c r="B374" s="20"/>
      <c r="C374" s="20"/>
      <c r="D374" s="20"/>
      <c r="E374" s="125"/>
      <c r="F374" s="125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20"/>
      <c r="B375" s="20"/>
      <c r="C375" s="20"/>
      <c r="D375" s="20"/>
      <c r="E375" s="125"/>
      <c r="F375" s="125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20"/>
      <c r="B376" s="20"/>
      <c r="C376" s="20"/>
      <c r="D376" s="20"/>
      <c r="E376" s="125"/>
      <c r="F376" s="125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20"/>
      <c r="B377" s="20"/>
      <c r="C377" s="20"/>
      <c r="D377" s="20"/>
      <c r="E377" s="125"/>
      <c r="F377" s="125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20"/>
      <c r="B378" s="20"/>
      <c r="C378" s="20"/>
      <c r="D378" s="20"/>
      <c r="E378" s="125"/>
      <c r="F378" s="125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20"/>
      <c r="B379" s="20"/>
      <c r="C379" s="20"/>
      <c r="D379" s="20"/>
      <c r="E379" s="125"/>
      <c r="F379" s="125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20"/>
      <c r="B380" s="20"/>
      <c r="C380" s="20"/>
      <c r="D380" s="20"/>
      <c r="E380" s="125"/>
      <c r="F380" s="125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20"/>
      <c r="B381" s="20"/>
      <c r="C381" s="20"/>
      <c r="D381" s="20"/>
      <c r="E381" s="125"/>
      <c r="F381" s="125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20"/>
      <c r="B382" s="20"/>
      <c r="C382" s="20"/>
      <c r="D382" s="20"/>
      <c r="E382" s="125"/>
      <c r="F382" s="125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20"/>
      <c r="B383" s="20"/>
      <c r="C383" s="20"/>
      <c r="D383" s="20"/>
      <c r="E383" s="125"/>
      <c r="F383" s="125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20"/>
      <c r="B384" s="20"/>
      <c r="C384" s="20"/>
      <c r="D384" s="20"/>
      <c r="E384" s="125"/>
      <c r="F384" s="125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20"/>
      <c r="B385" s="20"/>
      <c r="C385" s="20"/>
      <c r="D385" s="20"/>
      <c r="E385" s="125"/>
      <c r="F385" s="125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20"/>
      <c r="B386" s="20"/>
      <c r="C386" s="20"/>
      <c r="D386" s="20"/>
      <c r="E386" s="125"/>
      <c r="F386" s="125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20"/>
      <c r="B387" s="20"/>
      <c r="C387" s="20"/>
      <c r="D387" s="20"/>
      <c r="E387" s="125"/>
      <c r="F387" s="125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20"/>
      <c r="B388" s="20"/>
      <c r="C388" s="20"/>
      <c r="D388" s="20"/>
      <c r="E388" s="125"/>
      <c r="F388" s="125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20"/>
      <c r="B389" s="20"/>
      <c r="C389" s="20"/>
      <c r="D389" s="20"/>
      <c r="E389" s="125"/>
      <c r="F389" s="125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20"/>
      <c r="B390" s="20"/>
      <c r="C390" s="20"/>
      <c r="D390" s="20"/>
      <c r="E390" s="125"/>
      <c r="F390" s="125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20"/>
      <c r="B391" s="20"/>
      <c r="C391" s="20"/>
      <c r="D391" s="20"/>
      <c r="E391" s="125"/>
      <c r="F391" s="125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20"/>
      <c r="B392" s="20"/>
      <c r="C392" s="20"/>
      <c r="D392" s="20"/>
      <c r="E392" s="125"/>
      <c r="F392" s="125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20"/>
      <c r="B393" s="20"/>
      <c r="C393" s="20"/>
      <c r="D393" s="20"/>
      <c r="E393" s="125"/>
      <c r="F393" s="125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20"/>
      <c r="B394" s="20"/>
      <c r="C394" s="20"/>
      <c r="D394" s="20"/>
      <c r="E394" s="125"/>
      <c r="F394" s="125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20"/>
      <c r="B395" s="20"/>
      <c r="C395" s="20"/>
      <c r="D395" s="20"/>
      <c r="E395" s="125"/>
      <c r="F395" s="125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20"/>
      <c r="B396" s="20"/>
      <c r="C396" s="20"/>
      <c r="D396" s="20"/>
      <c r="E396" s="125"/>
      <c r="F396" s="125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20"/>
      <c r="B397" s="20"/>
      <c r="C397" s="20"/>
      <c r="D397" s="20"/>
      <c r="E397" s="125"/>
      <c r="F397" s="125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20"/>
      <c r="B398" s="20"/>
      <c r="C398" s="20"/>
      <c r="D398" s="20"/>
      <c r="E398" s="125"/>
      <c r="F398" s="125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20"/>
      <c r="B399" s="20"/>
      <c r="C399" s="20"/>
      <c r="D399" s="20"/>
      <c r="E399" s="125"/>
      <c r="F399" s="125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20"/>
      <c r="B400" s="20"/>
      <c r="C400" s="20"/>
      <c r="D400" s="20"/>
      <c r="E400" s="125"/>
      <c r="F400" s="125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20"/>
      <c r="B401" s="20"/>
      <c r="C401" s="20"/>
      <c r="D401" s="20"/>
      <c r="E401" s="125"/>
      <c r="F401" s="125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20"/>
      <c r="B402" s="20"/>
      <c r="C402" s="20"/>
      <c r="D402" s="20"/>
      <c r="E402" s="125"/>
      <c r="F402" s="125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20"/>
      <c r="B403" s="20"/>
      <c r="C403" s="20"/>
      <c r="D403" s="20"/>
      <c r="E403" s="125"/>
      <c r="F403" s="125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20"/>
      <c r="B404" s="20"/>
      <c r="C404" s="20"/>
      <c r="D404" s="20"/>
      <c r="E404" s="125"/>
      <c r="F404" s="125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20"/>
      <c r="B405" s="20"/>
      <c r="C405" s="20"/>
      <c r="D405" s="20"/>
      <c r="E405" s="125"/>
      <c r="F405" s="125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20"/>
      <c r="B406" s="20"/>
      <c r="C406" s="20"/>
      <c r="D406" s="20"/>
      <c r="E406" s="125"/>
      <c r="F406" s="125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20"/>
      <c r="B407" s="20"/>
      <c r="C407" s="20"/>
      <c r="D407" s="20"/>
      <c r="E407" s="125"/>
      <c r="F407" s="125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20"/>
      <c r="B408" s="20"/>
      <c r="C408" s="20"/>
      <c r="D408" s="20"/>
      <c r="E408" s="125"/>
      <c r="F408" s="125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20"/>
      <c r="B409" s="20"/>
      <c r="C409" s="20"/>
      <c r="D409" s="20"/>
      <c r="E409" s="125"/>
      <c r="F409" s="125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20"/>
      <c r="B410" s="20"/>
      <c r="C410" s="20"/>
      <c r="D410" s="20"/>
      <c r="E410" s="125"/>
      <c r="F410" s="125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20"/>
      <c r="B411" s="20"/>
      <c r="C411" s="20"/>
      <c r="D411" s="20"/>
      <c r="E411" s="125"/>
      <c r="F411" s="125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20"/>
      <c r="B412" s="20"/>
      <c r="C412" s="20"/>
      <c r="D412" s="20"/>
      <c r="E412" s="125"/>
      <c r="F412" s="125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20"/>
      <c r="B413" s="20"/>
      <c r="C413" s="20"/>
      <c r="D413" s="20"/>
      <c r="E413" s="125"/>
      <c r="F413" s="125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20"/>
      <c r="B414" s="20"/>
      <c r="C414" s="20"/>
      <c r="D414" s="20"/>
      <c r="E414" s="125"/>
      <c r="F414" s="125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20"/>
      <c r="B415" s="20"/>
      <c r="C415" s="20"/>
      <c r="D415" s="20"/>
      <c r="E415" s="125"/>
      <c r="F415" s="125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20"/>
      <c r="B416" s="20"/>
      <c r="C416" s="20"/>
      <c r="D416" s="20"/>
      <c r="E416" s="125"/>
      <c r="F416" s="125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20"/>
      <c r="B417" s="20"/>
      <c r="C417" s="20"/>
      <c r="D417" s="20"/>
      <c r="E417" s="125"/>
      <c r="F417" s="125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20"/>
      <c r="B418" s="20"/>
      <c r="C418" s="20"/>
      <c r="D418" s="20"/>
      <c r="E418" s="125"/>
      <c r="F418" s="125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20"/>
      <c r="B419" s="20"/>
      <c r="C419" s="20"/>
      <c r="D419" s="20"/>
      <c r="E419" s="125"/>
      <c r="F419" s="125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20"/>
      <c r="B420" s="20"/>
      <c r="C420" s="20"/>
      <c r="D420" s="20"/>
      <c r="E420" s="125"/>
      <c r="F420" s="125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20"/>
      <c r="B421" s="20"/>
      <c r="C421" s="20"/>
      <c r="D421" s="20"/>
      <c r="E421" s="125"/>
      <c r="F421" s="125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20"/>
      <c r="B422" s="20"/>
      <c r="C422" s="20"/>
      <c r="D422" s="20"/>
      <c r="E422" s="125"/>
      <c r="F422" s="125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20"/>
      <c r="B423" s="20"/>
      <c r="C423" s="20"/>
      <c r="D423" s="20"/>
      <c r="E423" s="125"/>
      <c r="F423" s="125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20"/>
      <c r="B424" s="20"/>
      <c r="C424" s="20"/>
      <c r="D424" s="20"/>
      <c r="E424" s="125"/>
      <c r="F424" s="125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20"/>
      <c r="B425" s="20"/>
      <c r="C425" s="20"/>
      <c r="D425" s="20"/>
      <c r="E425" s="125"/>
      <c r="F425" s="125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20"/>
      <c r="B426" s="20"/>
      <c r="C426" s="20"/>
      <c r="D426" s="20"/>
      <c r="E426" s="125"/>
      <c r="F426" s="125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20"/>
      <c r="B427" s="20"/>
      <c r="C427" s="20"/>
      <c r="D427" s="20"/>
      <c r="E427" s="125"/>
      <c r="F427" s="125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20"/>
      <c r="B428" s="20"/>
      <c r="C428" s="20"/>
      <c r="D428" s="20"/>
      <c r="E428" s="125"/>
      <c r="F428" s="125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20"/>
      <c r="B429" s="20"/>
      <c r="C429" s="20"/>
      <c r="D429" s="20"/>
      <c r="E429" s="125"/>
      <c r="F429" s="125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20"/>
      <c r="B430" s="20"/>
      <c r="C430" s="20"/>
      <c r="D430" s="20"/>
      <c r="E430" s="125"/>
      <c r="F430" s="125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20"/>
      <c r="B431" s="20"/>
      <c r="C431" s="20"/>
      <c r="D431" s="20"/>
      <c r="E431" s="125"/>
      <c r="F431" s="125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20"/>
      <c r="B432" s="20"/>
      <c r="C432" s="20"/>
      <c r="D432" s="20"/>
      <c r="E432" s="125"/>
      <c r="F432" s="125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20"/>
      <c r="B433" s="20"/>
      <c r="C433" s="20"/>
      <c r="D433" s="20"/>
      <c r="E433" s="125"/>
      <c r="F433" s="125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20"/>
      <c r="B434" s="20"/>
      <c r="C434" s="20"/>
      <c r="D434" s="20"/>
      <c r="E434" s="125"/>
      <c r="F434" s="125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20"/>
      <c r="B435" s="20"/>
      <c r="C435" s="20"/>
      <c r="D435" s="20"/>
      <c r="E435" s="125"/>
      <c r="F435" s="125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20"/>
      <c r="B436" s="20"/>
      <c r="C436" s="20"/>
      <c r="D436" s="20"/>
      <c r="E436" s="125"/>
      <c r="F436" s="125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20"/>
      <c r="B437" s="20"/>
      <c r="C437" s="20"/>
      <c r="D437" s="20"/>
      <c r="E437" s="125"/>
      <c r="F437" s="125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20"/>
      <c r="B438" s="20"/>
      <c r="C438" s="20"/>
      <c r="D438" s="20"/>
      <c r="E438" s="125"/>
      <c r="F438" s="125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20"/>
      <c r="B439" s="20"/>
      <c r="C439" s="20"/>
      <c r="D439" s="20"/>
      <c r="E439" s="125"/>
      <c r="F439" s="125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20"/>
      <c r="B440" s="20"/>
      <c r="C440" s="20"/>
      <c r="D440" s="20"/>
      <c r="E440" s="125"/>
      <c r="F440" s="125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20"/>
      <c r="B441" s="20"/>
      <c r="C441" s="20"/>
      <c r="D441" s="20"/>
      <c r="E441" s="125"/>
      <c r="F441" s="125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20"/>
      <c r="B442" s="20"/>
      <c r="C442" s="20"/>
      <c r="D442" s="20"/>
      <c r="E442" s="125"/>
      <c r="F442" s="125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20"/>
      <c r="B443" s="20"/>
      <c r="C443" s="20"/>
      <c r="D443" s="20"/>
      <c r="E443" s="125"/>
      <c r="F443" s="125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20"/>
      <c r="B444" s="20"/>
      <c r="C444" s="20"/>
      <c r="D444" s="20"/>
      <c r="E444" s="125"/>
      <c r="F444" s="125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20"/>
      <c r="B445" s="20"/>
      <c r="C445" s="20"/>
      <c r="D445" s="20"/>
      <c r="E445" s="125"/>
      <c r="F445" s="125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20"/>
      <c r="B446" s="20"/>
      <c r="C446" s="20"/>
      <c r="D446" s="20"/>
      <c r="E446" s="125"/>
      <c r="F446" s="125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20"/>
      <c r="B447" s="20"/>
      <c r="C447" s="20"/>
      <c r="D447" s="20"/>
      <c r="E447" s="125"/>
      <c r="F447" s="125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20"/>
      <c r="B448" s="20"/>
      <c r="C448" s="20"/>
      <c r="D448" s="20"/>
      <c r="E448" s="125"/>
      <c r="F448" s="125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20"/>
      <c r="B449" s="20"/>
      <c r="C449" s="20"/>
      <c r="D449" s="20"/>
      <c r="E449" s="125"/>
      <c r="F449" s="125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20"/>
      <c r="B450" s="20"/>
      <c r="C450" s="20"/>
      <c r="D450" s="20"/>
      <c r="E450" s="125"/>
      <c r="F450" s="125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20"/>
      <c r="B451" s="20"/>
      <c r="C451" s="20"/>
      <c r="D451" s="20"/>
      <c r="E451" s="125"/>
      <c r="F451" s="125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20"/>
      <c r="B452" s="20"/>
      <c r="C452" s="20"/>
      <c r="D452" s="20"/>
      <c r="E452" s="125"/>
      <c r="F452" s="125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20"/>
      <c r="B453" s="20"/>
      <c r="C453" s="20"/>
      <c r="D453" s="20"/>
      <c r="E453" s="125"/>
      <c r="F453" s="125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20"/>
      <c r="B454" s="20"/>
      <c r="C454" s="20"/>
      <c r="D454" s="20"/>
      <c r="E454" s="125"/>
      <c r="F454" s="125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20"/>
      <c r="B455" s="20"/>
      <c r="C455" s="20"/>
      <c r="D455" s="20"/>
      <c r="E455" s="125"/>
      <c r="F455" s="125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20"/>
      <c r="B456" s="20"/>
      <c r="C456" s="20"/>
      <c r="D456" s="20"/>
      <c r="E456" s="125"/>
      <c r="F456" s="125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20"/>
      <c r="B457" s="20"/>
      <c r="C457" s="20"/>
      <c r="D457" s="20"/>
      <c r="E457" s="125"/>
      <c r="F457" s="125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20"/>
      <c r="B458" s="20"/>
      <c r="C458" s="20"/>
      <c r="D458" s="20"/>
      <c r="E458" s="125"/>
      <c r="F458" s="125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20"/>
      <c r="B459" s="20"/>
      <c r="C459" s="20"/>
      <c r="D459" s="20"/>
      <c r="E459" s="125"/>
      <c r="F459" s="125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20"/>
      <c r="B460" s="20"/>
      <c r="C460" s="20"/>
      <c r="D460" s="20"/>
      <c r="E460" s="125"/>
      <c r="F460" s="125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20"/>
      <c r="B461" s="20"/>
      <c r="C461" s="20"/>
      <c r="D461" s="20"/>
      <c r="E461" s="125"/>
      <c r="F461" s="125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20"/>
      <c r="B462" s="20"/>
      <c r="C462" s="20"/>
      <c r="D462" s="20"/>
      <c r="E462" s="125"/>
      <c r="F462" s="125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20"/>
      <c r="B463" s="20"/>
      <c r="C463" s="20"/>
      <c r="D463" s="20"/>
      <c r="E463" s="125"/>
      <c r="F463" s="125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20"/>
      <c r="B464" s="20"/>
      <c r="C464" s="20"/>
      <c r="D464" s="20"/>
      <c r="E464" s="125"/>
      <c r="F464" s="125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20"/>
      <c r="B465" s="20"/>
      <c r="C465" s="20"/>
      <c r="D465" s="20"/>
      <c r="E465" s="125"/>
      <c r="F465" s="125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20"/>
      <c r="B466" s="20"/>
      <c r="C466" s="20"/>
      <c r="D466" s="20"/>
      <c r="E466" s="125"/>
      <c r="F466" s="125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20"/>
      <c r="B467" s="20"/>
      <c r="C467" s="20"/>
      <c r="D467" s="20"/>
      <c r="E467" s="125"/>
      <c r="F467" s="125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20"/>
      <c r="B468" s="20"/>
      <c r="C468" s="20"/>
      <c r="D468" s="20"/>
      <c r="E468" s="125"/>
      <c r="F468" s="125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20"/>
      <c r="B469" s="20"/>
      <c r="C469" s="20"/>
      <c r="D469" s="20"/>
      <c r="E469" s="125"/>
      <c r="F469" s="125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20"/>
      <c r="B470" s="20"/>
      <c r="C470" s="20"/>
      <c r="D470" s="20"/>
      <c r="E470" s="125"/>
      <c r="F470" s="125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20"/>
      <c r="B471" s="20"/>
      <c r="C471" s="20"/>
      <c r="D471" s="20"/>
      <c r="E471" s="125"/>
      <c r="F471" s="125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20"/>
      <c r="B472" s="20"/>
      <c r="C472" s="20"/>
      <c r="D472" s="20"/>
      <c r="E472" s="125"/>
      <c r="F472" s="125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20"/>
      <c r="B473" s="20"/>
      <c r="C473" s="20"/>
      <c r="D473" s="20"/>
      <c r="E473" s="125"/>
      <c r="F473" s="125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20"/>
      <c r="B474" s="20"/>
      <c r="C474" s="20"/>
      <c r="D474" s="20"/>
      <c r="E474" s="125"/>
      <c r="F474" s="125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20"/>
      <c r="B475" s="20"/>
      <c r="C475" s="20"/>
      <c r="D475" s="20"/>
      <c r="E475" s="125"/>
      <c r="F475" s="125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20"/>
      <c r="B476" s="20"/>
      <c r="C476" s="20"/>
      <c r="D476" s="20"/>
      <c r="E476" s="125"/>
      <c r="F476" s="125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20"/>
      <c r="B477" s="20"/>
      <c r="C477" s="20"/>
      <c r="D477" s="20"/>
      <c r="E477" s="125"/>
      <c r="F477" s="125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20"/>
      <c r="B478" s="20"/>
      <c r="C478" s="20"/>
      <c r="D478" s="20"/>
      <c r="E478" s="125"/>
      <c r="F478" s="125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20"/>
      <c r="B479" s="20"/>
      <c r="C479" s="20"/>
      <c r="D479" s="20"/>
      <c r="E479" s="125"/>
      <c r="F479" s="125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20"/>
      <c r="B480" s="20"/>
      <c r="C480" s="20"/>
      <c r="D480" s="20"/>
      <c r="E480" s="125"/>
      <c r="F480" s="125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20"/>
      <c r="B481" s="20"/>
      <c r="C481" s="20"/>
      <c r="D481" s="20"/>
      <c r="E481" s="125"/>
      <c r="F481" s="125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20"/>
      <c r="B482" s="20"/>
      <c r="C482" s="20"/>
      <c r="D482" s="20"/>
      <c r="E482" s="125"/>
      <c r="F482" s="125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20"/>
      <c r="B483" s="20"/>
      <c r="C483" s="20"/>
      <c r="D483" s="20"/>
      <c r="E483" s="125"/>
      <c r="F483" s="125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20"/>
      <c r="B484" s="20"/>
      <c r="C484" s="20"/>
      <c r="D484" s="20"/>
      <c r="E484" s="125"/>
      <c r="F484" s="125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20"/>
      <c r="B485" s="20"/>
      <c r="C485" s="20"/>
      <c r="D485" s="20"/>
      <c r="E485" s="125"/>
      <c r="F485" s="125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20"/>
      <c r="B486" s="20"/>
      <c r="C486" s="20"/>
      <c r="D486" s="20"/>
      <c r="E486" s="125"/>
      <c r="F486" s="125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20"/>
      <c r="B487" s="20"/>
      <c r="C487" s="20"/>
      <c r="D487" s="20"/>
      <c r="E487" s="125"/>
      <c r="F487" s="125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20"/>
      <c r="B488" s="20"/>
      <c r="C488" s="20"/>
      <c r="D488" s="20"/>
      <c r="E488" s="125"/>
      <c r="F488" s="125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20"/>
      <c r="B489" s="20"/>
      <c r="C489" s="20"/>
      <c r="D489" s="20"/>
      <c r="E489" s="125"/>
      <c r="F489" s="125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20"/>
      <c r="B490" s="20"/>
      <c r="C490" s="20"/>
      <c r="D490" s="20"/>
      <c r="E490" s="125"/>
      <c r="F490" s="125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20"/>
      <c r="B491" s="20"/>
      <c r="C491" s="20"/>
      <c r="D491" s="20"/>
      <c r="E491" s="125"/>
      <c r="F491" s="125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20"/>
      <c r="B492" s="20"/>
      <c r="C492" s="20"/>
      <c r="D492" s="20"/>
      <c r="E492" s="125"/>
      <c r="F492" s="125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20"/>
      <c r="B493" s="20"/>
      <c r="C493" s="20"/>
      <c r="D493" s="20"/>
      <c r="E493" s="125"/>
      <c r="F493" s="125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20"/>
      <c r="B494" s="20"/>
      <c r="C494" s="20"/>
      <c r="D494" s="20"/>
      <c r="E494" s="125"/>
      <c r="F494" s="125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20"/>
      <c r="B495" s="20"/>
      <c r="C495" s="20"/>
      <c r="D495" s="20"/>
      <c r="E495" s="125"/>
      <c r="F495" s="125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20"/>
      <c r="B496" s="20"/>
      <c r="C496" s="20"/>
      <c r="D496" s="20"/>
      <c r="E496" s="125"/>
      <c r="F496" s="125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20"/>
      <c r="B497" s="20"/>
      <c r="C497" s="20"/>
      <c r="D497" s="20"/>
      <c r="E497" s="125"/>
      <c r="F497" s="125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20"/>
      <c r="B498" s="20"/>
      <c r="C498" s="20"/>
      <c r="D498" s="20"/>
      <c r="E498" s="125"/>
      <c r="F498" s="125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20"/>
      <c r="B499" s="20"/>
      <c r="C499" s="20"/>
      <c r="D499" s="20"/>
      <c r="E499" s="125"/>
      <c r="F499" s="125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20"/>
      <c r="B500" s="20"/>
      <c r="C500" s="20"/>
      <c r="D500" s="20"/>
      <c r="E500" s="125"/>
      <c r="F500" s="125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20"/>
      <c r="B501" s="20"/>
      <c r="C501" s="20"/>
      <c r="D501" s="20"/>
      <c r="E501" s="125"/>
      <c r="F501" s="125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20"/>
      <c r="B502" s="20"/>
      <c r="C502" s="20"/>
      <c r="D502" s="20"/>
      <c r="E502" s="125"/>
      <c r="F502" s="125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20"/>
      <c r="B503" s="20"/>
      <c r="C503" s="20"/>
      <c r="D503" s="20"/>
      <c r="E503" s="125"/>
      <c r="F503" s="125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20"/>
      <c r="B504" s="20"/>
      <c r="C504" s="20"/>
      <c r="D504" s="20"/>
      <c r="E504" s="125"/>
      <c r="F504" s="125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20"/>
      <c r="B505" s="20"/>
      <c r="C505" s="20"/>
      <c r="D505" s="20"/>
      <c r="E505" s="125"/>
      <c r="F505" s="125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20"/>
      <c r="B506" s="20"/>
      <c r="C506" s="20"/>
      <c r="D506" s="20"/>
      <c r="E506" s="125"/>
      <c r="F506" s="125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20"/>
      <c r="B507" s="20"/>
      <c r="C507" s="20"/>
      <c r="D507" s="20"/>
      <c r="E507" s="125"/>
      <c r="F507" s="125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20"/>
      <c r="B508" s="20"/>
      <c r="C508" s="20"/>
      <c r="D508" s="20"/>
      <c r="E508" s="125"/>
      <c r="F508" s="125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20"/>
      <c r="B509" s="20"/>
      <c r="C509" s="20"/>
      <c r="D509" s="20"/>
      <c r="E509" s="125"/>
      <c r="F509" s="125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20"/>
      <c r="B510" s="20"/>
      <c r="C510" s="20"/>
      <c r="D510" s="20"/>
      <c r="E510" s="125"/>
      <c r="F510" s="125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20"/>
      <c r="B511" s="20"/>
      <c r="C511" s="20"/>
      <c r="D511" s="20"/>
      <c r="E511" s="125"/>
      <c r="F511" s="125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20"/>
      <c r="B512" s="20"/>
      <c r="C512" s="20"/>
      <c r="D512" s="20"/>
      <c r="E512" s="125"/>
      <c r="F512" s="125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20"/>
      <c r="B513" s="20"/>
      <c r="C513" s="20"/>
      <c r="D513" s="20"/>
      <c r="E513" s="125"/>
      <c r="F513" s="125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20"/>
      <c r="B514" s="20"/>
      <c r="C514" s="20"/>
      <c r="D514" s="20"/>
      <c r="E514" s="125"/>
      <c r="F514" s="125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20"/>
      <c r="B515" s="20"/>
      <c r="C515" s="20"/>
      <c r="D515" s="20"/>
      <c r="E515" s="125"/>
      <c r="F515" s="125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20"/>
      <c r="B516" s="20"/>
      <c r="C516" s="20"/>
      <c r="D516" s="20"/>
      <c r="E516" s="125"/>
      <c r="F516" s="125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20"/>
      <c r="B517" s="20"/>
      <c r="C517" s="20"/>
      <c r="D517" s="20"/>
      <c r="E517" s="125"/>
      <c r="F517" s="125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20"/>
      <c r="B518" s="20"/>
      <c r="C518" s="20"/>
      <c r="D518" s="20"/>
      <c r="E518" s="125"/>
      <c r="F518" s="125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20"/>
      <c r="B519" s="20"/>
      <c r="C519" s="20"/>
      <c r="D519" s="20"/>
      <c r="E519" s="125"/>
      <c r="F519" s="125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20"/>
      <c r="B520" s="20"/>
      <c r="C520" s="20"/>
      <c r="D520" s="20"/>
      <c r="E520" s="125"/>
      <c r="F520" s="125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20"/>
      <c r="B521" s="20"/>
      <c r="C521" s="20"/>
      <c r="D521" s="20"/>
      <c r="E521" s="125"/>
      <c r="F521" s="125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20"/>
      <c r="B522" s="20"/>
      <c r="C522" s="20"/>
      <c r="D522" s="20"/>
      <c r="E522" s="125"/>
      <c r="F522" s="125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20"/>
      <c r="B523" s="20"/>
      <c r="C523" s="20"/>
      <c r="D523" s="20"/>
      <c r="E523" s="125"/>
      <c r="F523" s="125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20"/>
      <c r="B524" s="20"/>
      <c r="C524" s="20"/>
      <c r="D524" s="20"/>
      <c r="E524" s="125"/>
      <c r="F524" s="125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20"/>
      <c r="B525" s="20"/>
      <c r="C525" s="20"/>
      <c r="D525" s="20"/>
      <c r="E525" s="125"/>
      <c r="F525" s="125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20"/>
      <c r="B526" s="20"/>
      <c r="C526" s="20"/>
      <c r="D526" s="20"/>
      <c r="E526" s="125"/>
      <c r="F526" s="125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20"/>
      <c r="B527" s="20"/>
      <c r="C527" s="20"/>
      <c r="D527" s="20"/>
      <c r="E527" s="125"/>
      <c r="F527" s="125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20"/>
      <c r="B528" s="20"/>
      <c r="C528" s="20"/>
      <c r="D528" s="20"/>
      <c r="E528" s="125"/>
      <c r="F528" s="125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20"/>
      <c r="B529" s="20"/>
      <c r="C529" s="20"/>
      <c r="D529" s="20"/>
      <c r="E529" s="125"/>
      <c r="F529" s="125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20"/>
      <c r="B530" s="20"/>
      <c r="C530" s="20"/>
      <c r="D530" s="20"/>
      <c r="E530" s="125"/>
      <c r="F530" s="125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20"/>
      <c r="B531" s="20"/>
      <c r="C531" s="20"/>
      <c r="D531" s="20"/>
      <c r="E531" s="125"/>
      <c r="F531" s="125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20"/>
      <c r="B532" s="20"/>
      <c r="C532" s="20"/>
      <c r="D532" s="20"/>
      <c r="E532" s="125"/>
      <c r="F532" s="125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20"/>
      <c r="B533" s="20"/>
      <c r="C533" s="20"/>
      <c r="D533" s="20"/>
      <c r="E533" s="125"/>
      <c r="F533" s="125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20"/>
      <c r="B534" s="20"/>
      <c r="C534" s="20"/>
      <c r="D534" s="20"/>
      <c r="E534" s="125"/>
      <c r="F534" s="125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20"/>
      <c r="B535" s="20"/>
      <c r="C535" s="20"/>
      <c r="D535" s="20"/>
      <c r="E535" s="125"/>
      <c r="F535" s="125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20"/>
      <c r="B536" s="20"/>
      <c r="C536" s="20"/>
      <c r="D536" s="20"/>
      <c r="E536" s="125"/>
      <c r="F536" s="125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20"/>
      <c r="B537" s="20"/>
      <c r="C537" s="20"/>
      <c r="D537" s="20"/>
      <c r="E537" s="125"/>
      <c r="F537" s="125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20"/>
      <c r="B538" s="20"/>
      <c r="C538" s="20"/>
      <c r="D538" s="20"/>
      <c r="E538" s="125"/>
      <c r="F538" s="125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20"/>
      <c r="B539" s="20"/>
      <c r="C539" s="20"/>
      <c r="D539" s="20"/>
      <c r="E539" s="125"/>
      <c r="F539" s="125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20"/>
      <c r="B540" s="20"/>
      <c r="C540" s="20"/>
      <c r="D540" s="20"/>
      <c r="E540" s="125"/>
      <c r="F540" s="125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20"/>
      <c r="B541" s="20"/>
      <c r="C541" s="20"/>
      <c r="D541" s="20"/>
      <c r="E541" s="125"/>
      <c r="F541" s="125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20"/>
      <c r="B542" s="20"/>
      <c r="C542" s="20"/>
      <c r="D542" s="20"/>
      <c r="E542" s="125"/>
      <c r="F542" s="125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20"/>
      <c r="B543" s="20"/>
      <c r="C543" s="20"/>
      <c r="D543" s="20"/>
      <c r="E543" s="125"/>
      <c r="F543" s="125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20"/>
      <c r="B544" s="20"/>
      <c r="C544" s="20"/>
      <c r="D544" s="20"/>
      <c r="E544" s="125"/>
      <c r="F544" s="125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20"/>
      <c r="B545" s="20"/>
      <c r="C545" s="20"/>
      <c r="D545" s="20"/>
      <c r="E545" s="125"/>
      <c r="F545" s="125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>
      <c r="A546" s="20"/>
      <c r="B546" s="20"/>
      <c r="C546" s="20"/>
      <c r="D546" s="20"/>
      <c r="E546" s="125"/>
      <c r="F546" s="125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20"/>
      <c r="B547" s="20"/>
      <c r="C547" s="20"/>
      <c r="D547" s="20"/>
      <c r="E547" s="125"/>
      <c r="F547" s="125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20"/>
      <c r="B548" s="20"/>
      <c r="C548" s="20"/>
      <c r="D548" s="20"/>
      <c r="E548" s="125"/>
      <c r="F548" s="125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20"/>
      <c r="B549" s="20"/>
      <c r="C549" s="20"/>
      <c r="D549" s="20"/>
      <c r="E549" s="125"/>
      <c r="F549" s="125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20"/>
      <c r="B550" s="20"/>
      <c r="C550" s="20"/>
      <c r="D550" s="20"/>
      <c r="E550" s="125"/>
      <c r="F550" s="125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20"/>
      <c r="B551" s="20"/>
      <c r="C551" s="20"/>
      <c r="D551" s="20"/>
      <c r="E551" s="125"/>
      <c r="F551" s="125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20"/>
      <c r="B552" s="20"/>
      <c r="C552" s="20"/>
      <c r="D552" s="20"/>
      <c r="E552" s="125"/>
      <c r="F552" s="125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20"/>
      <c r="B553" s="20"/>
      <c r="C553" s="20"/>
      <c r="D553" s="20"/>
      <c r="E553" s="125"/>
      <c r="F553" s="125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20"/>
      <c r="B554" s="20"/>
      <c r="C554" s="20"/>
      <c r="D554" s="20"/>
      <c r="E554" s="125"/>
      <c r="F554" s="125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20"/>
      <c r="B555" s="20"/>
      <c r="C555" s="20"/>
      <c r="D555" s="20"/>
      <c r="E555" s="125"/>
      <c r="F555" s="125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20"/>
      <c r="B556" s="20"/>
      <c r="C556" s="20"/>
      <c r="D556" s="20"/>
      <c r="E556" s="125"/>
      <c r="F556" s="125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20"/>
      <c r="B557" s="20"/>
      <c r="C557" s="20"/>
      <c r="D557" s="20"/>
      <c r="E557" s="125"/>
      <c r="F557" s="125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20"/>
      <c r="B558" s="20"/>
      <c r="C558" s="20"/>
      <c r="D558" s="20"/>
      <c r="E558" s="125"/>
      <c r="F558" s="125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20"/>
      <c r="B559" s="20"/>
      <c r="C559" s="20"/>
      <c r="D559" s="20"/>
      <c r="E559" s="125"/>
      <c r="F559" s="125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20"/>
      <c r="B560" s="20"/>
      <c r="C560" s="20"/>
      <c r="D560" s="20"/>
      <c r="E560" s="125"/>
      <c r="F560" s="125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20"/>
      <c r="B561" s="20"/>
      <c r="C561" s="20"/>
      <c r="D561" s="20"/>
      <c r="E561" s="125"/>
      <c r="F561" s="125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20"/>
      <c r="B562" s="20"/>
      <c r="C562" s="20"/>
      <c r="D562" s="20"/>
      <c r="E562" s="125"/>
      <c r="F562" s="125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20"/>
      <c r="B563" s="20"/>
      <c r="C563" s="20"/>
      <c r="D563" s="20"/>
      <c r="E563" s="125"/>
      <c r="F563" s="125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20"/>
      <c r="B564" s="20"/>
      <c r="C564" s="20"/>
      <c r="D564" s="20"/>
      <c r="E564" s="125"/>
      <c r="F564" s="125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20"/>
      <c r="B565" s="20"/>
      <c r="C565" s="20"/>
      <c r="D565" s="20"/>
      <c r="E565" s="125"/>
      <c r="F565" s="125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20"/>
      <c r="B566" s="20"/>
      <c r="C566" s="20"/>
      <c r="D566" s="20"/>
      <c r="E566" s="125"/>
      <c r="F566" s="125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20"/>
      <c r="B567" s="20"/>
      <c r="C567" s="20"/>
      <c r="D567" s="20"/>
      <c r="E567" s="125"/>
      <c r="F567" s="125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20"/>
      <c r="B568" s="20"/>
      <c r="C568" s="20"/>
      <c r="D568" s="20"/>
      <c r="E568" s="125"/>
      <c r="F568" s="125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20"/>
      <c r="B569" s="20"/>
      <c r="C569" s="20"/>
      <c r="D569" s="20"/>
      <c r="E569" s="125"/>
      <c r="F569" s="125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20"/>
      <c r="B570" s="20"/>
      <c r="C570" s="20"/>
      <c r="D570" s="20"/>
      <c r="E570" s="125"/>
      <c r="F570" s="125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20"/>
      <c r="B571" s="20"/>
      <c r="C571" s="20"/>
      <c r="D571" s="20"/>
      <c r="E571" s="125"/>
      <c r="F571" s="125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20"/>
      <c r="B572" s="20"/>
      <c r="C572" s="20"/>
      <c r="D572" s="20"/>
      <c r="E572" s="125"/>
      <c r="F572" s="125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20"/>
      <c r="B573" s="20"/>
      <c r="C573" s="20"/>
      <c r="D573" s="20"/>
      <c r="E573" s="125"/>
      <c r="F573" s="125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20"/>
      <c r="B574" s="20"/>
      <c r="C574" s="20"/>
      <c r="D574" s="20"/>
      <c r="E574" s="125"/>
      <c r="F574" s="125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20"/>
      <c r="B575" s="20"/>
      <c r="C575" s="20"/>
      <c r="D575" s="20"/>
      <c r="E575" s="125"/>
      <c r="F575" s="125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20"/>
      <c r="B576" s="20"/>
      <c r="C576" s="20"/>
      <c r="D576" s="20"/>
      <c r="E576" s="125"/>
      <c r="F576" s="125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20"/>
      <c r="B577" s="20"/>
      <c r="C577" s="20"/>
      <c r="D577" s="20"/>
      <c r="E577" s="125"/>
      <c r="F577" s="125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20"/>
      <c r="B578" s="20"/>
      <c r="C578" s="20"/>
      <c r="D578" s="20"/>
      <c r="E578" s="125"/>
      <c r="F578" s="125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20"/>
      <c r="B579" s="20"/>
      <c r="C579" s="20"/>
      <c r="D579" s="20"/>
      <c r="E579" s="125"/>
      <c r="F579" s="125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20"/>
      <c r="B580" s="20"/>
      <c r="C580" s="20"/>
      <c r="D580" s="20"/>
      <c r="E580" s="125"/>
      <c r="F580" s="125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20"/>
      <c r="B581" s="20"/>
      <c r="C581" s="20"/>
      <c r="D581" s="20"/>
      <c r="E581" s="125"/>
      <c r="F581" s="125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20"/>
      <c r="B582" s="20"/>
      <c r="C582" s="20"/>
      <c r="D582" s="20"/>
      <c r="E582" s="125"/>
      <c r="F582" s="125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>
      <c r="A583" s="20"/>
      <c r="B583" s="20"/>
      <c r="C583" s="20"/>
      <c r="D583" s="20"/>
      <c r="E583" s="125"/>
      <c r="F583" s="125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20"/>
      <c r="B584" s="20"/>
      <c r="C584" s="20"/>
      <c r="D584" s="20"/>
      <c r="E584" s="125"/>
      <c r="F584" s="125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20"/>
      <c r="B585" s="20"/>
      <c r="C585" s="20"/>
      <c r="D585" s="20"/>
      <c r="E585" s="125"/>
      <c r="F585" s="125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20"/>
      <c r="B586" s="20"/>
      <c r="C586" s="20"/>
      <c r="D586" s="20"/>
      <c r="E586" s="125"/>
      <c r="F586" s="125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20"/>
      <c r="B587" s="20"/>
      <c r="C587" s="20"/>
      <c r="D587" s="20"/>
      <c r="E587" s="125"/>
      <c r="F587" s="125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20"/>
      <c r="B588" s="20"/>
      <c r="C588" s="20"/>
      <c r="D588" s="20"/>
      <c r="E588" s="125"/>
      <c r="F588" s="125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20"/>
      <c r="B589" s="20"/>
      <c r="C589" s="20"/>
      <c r="D589" s="20"/>
      <c r="E589" s="125"/>
      <c r="F589" s="125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20"/>
      <c r="B590" s="20"/>
      <c r="C590" s="20"/>
      <c r="D590" s="20"/>
      <c r="E590" s="125"/>
      <c r="F590" s="125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20"/>
      <c r="B591" s="20"/>
      <c r="C591" s="20"/>
      <c r="D591" s="20"/>
      <c r="E591" s="125"/>
      <c r="F591" s="125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20"/>
      <c r="B592" s="20"/>
      <c r="C592" s="20"/>
      <c r="D592" s="20"/>
      <c r="E592" s="125"/>
      <c r="F592" s="125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20"/>
      <c r="B593" s="20"/>
      <c r="C593" s="20"/>
      <c r="D593" s="20"/>
      <c r="E593" s="125"/>
      <c r="F593" s="125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20"/>
      <c r="B594" s="20"/>
      <c r="C594" s="20"/>
      <c r="D594" s="20"/>
      <c r="E594" s="125"/>
      <c r="F594" s="125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20"/>
      <c r="B595" s="20"/>
      <c r="C595" s="20"/>
      <c r="D595" s="20"/>
      <c r="E595" s="125"/>
      <c r="F595" s="125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20"/>
      <c r="B596" s="20"/>
      <c r="C596" s="20"/>
      <c r="D596" s="20"/>
      <c r="E596" s="125"/>
      <c r="F596" s="125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20"/>
      <c r="B597" s="20"/>
      <c r="C597" s="20"/>
      <c r="D597" s="20"/>
      <c r="E597" s="125"/>
      <c r="F597" s="125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20"/>
      <c r="B598" s="20"/>
      <c r="C598" s="20"/>
      <c r="D598" s="20"/>
      <c r="E598" s="125"/>
      <c r="F598" s="125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20"/>
      <c r="B599" s="20"/>
      <c r="C599" s="20"/>
      <c r="D599" s="20"/>
      <c r="E599" s="125"/>
      <c r="F599" s="125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20"/>
      <c r="B600" s="20"/>
      <c r="C600" s="20"/>
      <c r="D600" s="20"/>
      <c r="E600" s="125"/>
      <c r="F600" s="125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20"/>
      <c r="B601" s="20"/>
      <c r="C601" s="20"/>
      <c r="D601" s="20"/>
      <c r="E601" s="125"/>
      <c r="F601" s="125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20"/>
      <c r="B602" s="20"/>
      <c r="C602" s="20"/>
      <c r="D602" s="20"/>
      <c r="E602" s="125"/>
      <c r="F602" s="125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20"/>
      <c r="B603" s="20"/>
      <c r="C603" s="20"/>
      <c r="D603" s="20"/>
      <c r="E603" s="125"/>
      <c r="F603" s="125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>
      <c r="A604" s="20"/>
      <c r="B604" s="20"/>
      <c r="C604" s="20"/>
      <c r="D604" s="20"/>
      <c r="E604" s="125"/>
      <c r="F604" s="125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>
      <c r="A605" s="20"/>
      <c r="B605" s="20"/>
      <c r="C605" s="20"/>
      <c r="D605" s="20"/>
      <c r="E605" s="125"/>
      <c r="F605" s="125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20"/>
      <c r="B606" s="20"/>
      <c r="C606" s="20"/>
      <c r="D606" s="20"/>
      <c r="E606" s="125"/>
      <c r="F606" s="125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20"/>
      <c r="B607" s="20"/>
      <c r="C607" s="20"/>
      <c r="D607" s="20"/>
      <c r="E607" s="125"/>
      <c r="F607" s="125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20"/>
      <c r="B608" s="20"/>
      <c r="C608" s="20"/>
      <c r="D608" s="20"/>
      <c r="E608" s="125"/>
      <c r="F608" s="125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20"/>
      <c r="B609" s="20"/>
      <c r="C609" s="20"/>
      <c r="D609" s="20"/>
      <c r="E609" s="125"/>
      <c r="F609" s="125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20"/>
      <c r="B610" s="20"/>
      <c r="C610" s="20"/>
      <c r="D610" s="20"/>
      <c r="E610" s="125"/>
      <c r="F610" s="125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20"/>
      <c r="B611" s="20"/>
      <c r="C611" s="20"/>
      <c r="D611" s="20"/>
      <c r="E611" s="125"/>
      <c r="F611" s="125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20"/>
      <c r="B612" s="20"/>
      <c r="C612" s="20"/>
      <c r="D612" s="20"/>
      <c r="E612" s="125"/>
      <c r="F612" s="125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20"/>
      <c r="B613" s="20"/>
      <c r="C613" s="20"/>
      <c r="D613" s="20"/>
      <c r="E613" s="125"/>
      <c r="F613" s="125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20"/>
      <c r="B614" s="20"/>
      <c r="C614" s="20"/>
      <c r="D614" s="20"/>
      <c r="E614" s="125"/>
      <c r="F614" s="125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20"/>
      <c r="B615" s="20"/>
      <c r="C615" s="20"/>
      <c r="D615" s="20"/>
      <c r="E615" s="125"/>
      <c r="F615" s="125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20"/>
      <c r="B616" s="20"/>
      <c r="C616" s="20"/>
      <c r="D616" s="20"/>
      <c r="E616" s="125"/>
      <c r="F616" s="125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20"/>
      <c r="B617" s="20"/>
      <c r="C617" s="20"/>
      <c r="D617" s="20"/>
      <c r="E617" s="125"/>
      <c r="F617" s="125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20"/>
      <c r="B618" s="20"/>
      <c r="C618" s="20"/>
      <c r="D618" s="20"/>
      <c r="E618" s="125"/>
      <c r="F618" s="125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20"/>
      <c r="B619" s="20"/>
      <c r="C619" s="20"/>
      <c r="D619" s="20"/>
      <c r="E619" s="125"/>
      <c r="F619" s="125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20"/>
      <c r="B620" s="20"/>
      <c r="C620" s="20"/>
      <c r="D620" s="20"/>
      <c r="E620" s="125"/>
      <c r="F620" s="125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20"/>
      <c r="B621" s="20"/>
      <c r="C621" s="20"/>
      <c r="D621" s="20"/>
      <c r="E621" s="125"/>
      <c r="F621" s="125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20"/>
      <c r="B622" s="20"/>
      <c r="C622" s="20"/>
      <c r="D622" s="20"/>
      <c r="E622" s="125"/>
      <c r="F622" s="125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20"/>
      <c r="B623" s="20"/>
      <c r="C623" s="20"/>
      <c r="D623" s="20"/>
      <c r="E623" s="125"/>
      <c r="F623" s="125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20"/>
      <c r="B624" s="20"/>
      <c r="C624" s="20"/>
      <c r="D624" s="20"/>
      <c r="E624" s="125"/>
      <c r="F624" s="125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20"/>
      <c r="B625" s="20"/>
      <c r="C625" s="20"/>
      <c r="D625" s="20"/>
      <c r="E625" s="125"/>
      <c r="F625" s="125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20"/>
      <c r="B626" s="20"/>
      <c r="C626" s="20"/>
      <c r="D626" s="20"/>
      <c r="E626" s="125"/>
      <c r="F626" s="125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20"/>
      <c r="B627" s="20"/>
      <c r="C627" s="20"/>
      <c r="D627" s="20"/>
      <c r="E627" s="125"/>
      <c r="F627" s="125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20"/>
      <c r="B628" s="20"/>
      <c r="C628" s="20"/>
      <c r="D628" s="20"/>
      <c r="E628" s="125"/>
      <c r="F628" s="125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20"/>
      <c r="B629" s="20"/>
      <c r="C629" s="20"/>
      <c r="D629" s="20"/>
      <c r="E629" s="125"/>
      <c r="F629" s="125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20"/>
      <c r="B630" s="20"/>
      <c r="C630" s="20"/>
      <c r="D630" s="20"/>
      <c r="E630" s="125"/>
      <c r="F630" s="125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20"/>
      <c r="B631" s="20"/>
      <c r="C631" s="20"/>
      <c r="D631" s="20"/>
      <c r="E631" s="125"/>
      <c r="F631" s="125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20"/>
      <c r="B632" s="20"/>
      <c r="C632" s="20"/>
      <c r="D632" s="20"/>
      <c r="E632" s="125"/>
      <c r="F632" s="125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20"/>
      <c r="B633" s="20"/>
      <c r="C633" s="20"/>
      <c r="D633" s="20"/>
      <c r="E633" s="125"/>
      <c r="F633" s="125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20"/>
      <c r="B634" s="20"/>
      <c r="C634" s="20"/>
      <c r="D634" s="20"/>
      <c r="E634" s="125"/>
      <c r="F634" s="125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20"/>
      <c r="B635" s="20"/>
      <c r="C635" s="20"/>
      <c r="D635" s="20"/>
      <c r="E635" s="125"/>
      <c r="F635" s="125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20"/>
      <c r="B636" s="20"/>
      <c r="C636" s="20"/>
      <c r="D636" s="20"/>
      <c r="E636" s="125"/>
      <c r="F636" s="125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20"/>
      <c r="B637" s="20"/>
      <c r="C637" s="20"/>
      <c r="D637" s="20"/>
      <c r="E637" s="125"/>
      <c r="F637" s="125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20"/>
      <c r="B638" s="20"/>
      <c r="C638" s="20"/>
      <c r="D638" s="20"/>
      <c r="E638" s="125"/>
      <c r="F638" s="125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20"/>
      <c r="B639" s="20"/>
      <c r="C639" s="20"/>
      <c r="D639" s="20"/>
      <c r="E639" s="125"/>
      <c r="F639" s="125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20"/>
      <c r="B640" s="20"/>
      <c r="C640" s="20"/>
      <c r="D640" s="20"/>
      <c r="E640" s="125"/>
      <c r="F640" s="125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20"/>
      <c r="B641" s="20"/>
      <c r="C641" s="20"/>
      <c r="D641" s="20"/>
      <c r="E641" s="125"/>
      <c r="F641" s="125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20"/>
      <c r="B642" s="20"/>
      <c r="C642" s="20"/>
      <c r="D642" s="20"/>
      <c r="E642" s="125"/>
      <c r="F642" s="125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20"/>
      <c r="B643" s="20"/>
      <c r="C643" s="20"/>
      <c r="D643" s="20"/>
      <c r="E643" s="125"/>
      <c r="F643" s="125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20"/>
      <c r="B644" s="20"/>
      <c r="C644" s="20"/>
      <c r="D644" s="20"/>
      <c r="E644" s="125"/>
      <c r="F644" s="125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20"/>
      <c r="B645" s="20"/>
      <c r="C645" s="20"/>
      <c r="D645" s="20"/>
      <c r="E645" s="125"/>
      <c r="F645" s="125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20"/>
      <c r="B646" s="20"/>
      <c r="C646" s="20"/>
      <c r="D646" s="20"/>
      <c r="E646" s="125"/>
      <c r="F646" s="125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20"/>
      <c r="B647" s="20"/>
      <c r="C647" s="20"/>
      <c r="D647" s="20"/>
      <c r="E647" s="125"/>
      <c r="F647" s="125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20"/>
      <c r="B648" s="20"/>
      <c r="C648" s="20"/>
      <c r="D648" s="20"/>
      <c r="E648" s="125"/>
      <c r="F648" s="125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20"/>
      <c r="B649" s="20"/>
      <c r="C649" s="20"/>
      <c r="D649" s="20"/>
      <c r="E649" s="125"/>
      <c r="F649" s="125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20"/>
      <c r="B650" s="20"/>
      <c r="C650" s="20"/>
      <c r="D650" s="20"/>
      <c r="E650" s="125"/>
      <c r="F650" s="125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20"/>
      <c r="B651" s="20"/>
      <c r="C651" s="20"/>
      <c r="D651" s="20"/>
      <c r="E651" s="125"/>
      <c r="F651" s="125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20"/>
      <c r="B652" s="20"/>
      <c r="C652" s="20"/>
      <c r="D652" s="20"/>
      <c r="E652" s="125"/>
      <c r="F652" s="125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20"/>
      <c r="B653" s="20"/>
      <c r="C653" s="20"/>
      <c r="D653" s="20"/>
      <c r="E653" s="125"/>
      <c r="F653" s="125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20"/>
      <c r="B654" s="20"/>
      <c r="C654" s="20"/>
      <c r="D654" s="20"/>
      <c r="E654" s="125"/>
      <c r="F654" s="125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20"/>
      <c r="B655" s="20"/>
      <c r="C655" s="20"/>
      <c r="D655" s="20"/>
      <c r="E655" s="125"/>
      <c r="F655" s="125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20"/>
      <c r="B656" s="20"/>
      <c r="C656" s="20"/>
      <c r="D656" s="20"/>
      <c r="E656" s="125"/>
      <c r="F656" s="125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20"/>
      <c r="B657" s="20"/>
      <c r="C657" s="20"/>
      <c r="D657" s="20"/>
      <c r="E657" s="125"/>
      <c r="F657" s="125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20"/>
      <c r="B658" s="20"/>
      <c r="C658" s="20"/>
      <c r="D658" s="20"/>
      <c r="E658" s="125"/>
      <c r="F658" s="125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20"/>
      <c r="B659" s="20"/>
      <c r="C659" s="20"/>
      <c r="D659" s="20"/>
      <c r="E659" s="125"/>
      <c r="F659" s="125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20"/>
      <c r="B660" s="20"/>
      <c r="C660" s="20"/>
      <c r="D660" s="20"/>
      <c r="E660" s="125"/>
      <c r="F660" s="125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20"/>
      <c r="B661" s="20"/>
      <c r="C661" s="20"/>
      <c r="D661" s="20"/>
      <c r="E661" s="125"/>
      <c r="F661" s="125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20"/>
      <c r="B662" s="20"/>
      <c r="C662" s="20"/>
      <c r="D662" s="20"/>
      <c r="E662" s="125"/>
      <c r="F662" s="125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20"/>
      <c r="B663" s="20"/>
      <c r="C663" s="20"/>
      <c r="D663" s="20"/>
      <c r="E663" s="125"/>
      <c r="F663" s="125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20"/>
      <c r="B664" s="20"/>
      <c r="C664" s="20"/>
      <c r="D664" s="20"/>
      <c r="E664" s="125"/>
      <c r="F664" s="125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20"/>
      <c r="B665" s="20"/>
      <c r="C665" s="20"/>
      <c r="D665" s="20"/>
      <c r="E665" s="125"/>
      <c r="F665" s="125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20"/>
      <c r="B666" s="20"/>
      <c r="C666" s="20"/>
      <c r="D666" s="20"/>
      <c r="E666" s="125"/>
      <c r="F666" s="125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20"/>
      <c r="B667" s="20"/>
      <c r="C667" s="20"/>
      <c r="D667" s="20"/>
      <c r="E667" s="125"/>
      <c r="F667" s="125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20"/>
      <c r="B668" s="20"/>
      <c r="C668" s="20"/>
      <c r="D668" s="20"/>
      <c r="E668" s="125"/>
      <c r="F668" s="125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20"/>
      <c r="B669" s="20"/>
      <c r="C669" s="20"/>
      <c r="D669" s="20"/>
      <c r="E669" s="125"/>
      <c r="F669" s="125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20"/>
      <c r="B670" s="20"/>
      <c r="C670" s="20"/>
      <c r="D670" s="20"/>
      <c r="E670" s="125"/>
      <c r="F670" s="125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20"/>
      <c r="B671" s="20"/>
      <c r="C671" s="20"/>
      <c r="D671" s="20"/>
      <c r="E671" s="125"/>
      <c r="F671" s="125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20"/>
      <c r="B672" s="20"/>
      <c r="C672" s="20"/>
      <c r="D672" s="20"/>
      <c r="E672" s="125"/>
      <c r="F672" s="125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20"/>
      <c r="B673" s="20"/>
      <c r="C673" s="20"/>
      <c r="D673" s="20"/>
      <c r="E673" s="125"/>
      <c r="F673" s="125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20"/>
      <c r="B674" s="20"/>
      <c r="C674" s="20"/>
      <c r="D674" s="20"/>
      <c r="E674" s="125"/>
      <c r="F674" s="125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20"/>
      <c r="B675" s="20"/>
      <c r="C675" s="20"/>
      <c r="D675" s="20"/>
      <c r="E675" s="125"/>
      <c r="F675" s="125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20"/>
      <c r="B676" s="20"/>
      <c r="C676" s="20"/>
      <c r="D676" s="20"/>
      <c r="E676" s="125"/>
      <c r="F676" s="125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20"/>
      <c r="B677" s="20"/>
      <c r="C677" s="20"/>
      <c r="D677" s="20"/>
      <c r="E677" s="125"/>
      <c r="F677" s="125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20"/>
      <c r="B678" s="20"/>
      <c r="C678" s="20"/>
      <c r="D678" s="20"/>
      <c r="E678" s="125"/>
      <c r="F678" s="125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20"/>
      <c r="B679" s="20"/>
      <c r="C679" s="20"/>
      <c r="D679" s="20"/>
      <c r="E679" s="125"/>
      <c r="F679" s="125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20"/>
      <c r="B680" s="20"/>
      <c r="C680" s="20"/>
      <c r="D680" s="20"/>
      <c r="E680" s="125"/>
      <c r="F680" s="125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20"/>
      <c r="B681" s="20"/>
      <c r="C681" s="20"/>
      <c r="D681" s="20"/>
      <c r="E681" s="125"/>
      <c r="F681" s="125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20"/>
      <c r="B682" s="20"/>
      <c r="C682" s="20"/>
      <c r="D682" s="20"/>
      <c r="E682" s="125"/>
      <c r="F682" s="125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20"/>
      <c r="B683" s="20"/>
      <c r="C683" s="20"/>
      <c r="D683" s="20"/>
      <c r="E683" s="125"/>
      <c r="F683" s="125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20"/>
      <c r="B684" s="20"/>
      <c r="C684" s="20"/>
      <c r="D684" s="20"/>
      <c r="E684" s="125"/>
      <c r="F684" s="125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20"/>
      <c r="B685" s="20"/>
      <c r="C685" s="20"/>
      <c r="D685" s="20"/>
      <c r="E685" s="125"/>
      <c r="F685" s="125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20"/>
      <c r="B686" s="20"/>
      <c r="C686" s="20"/>
      <c r="D686" s="20"/>
      <c r="E686" s="125"/>
      <c r="F686" s="125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20"/>
      <c r="B687" s="20"/>
      <c r="C687" s="20"/>
      <c r="D687" s="20"/>
      <c r="E687" s="125"/>
      <c r="F687" s="125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20"/>
      <c r="B688" s="20"/>
      <c r="C688" s="20"/>
      <c r="D688" s="20"/>
      <c r="E688" s="125"/>
      <c r="F688" s="125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20"/>
      <c r="B689" s="20"/>
      <c r="C689" s="20"/>
      <c r="D689" s="20"/>
      <c r="E689" s="125"/>
      <c r="F689" s="125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20"/>
      <c r="B690" s="20"/>
      <c r="C690" s="20"/>
      <c r="D690" s="20"/>
      <c r="E690" s="125"/>
      <c r="F690" s="125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20"/>
      <c r="B691" s="20"/>
      <c r="C691" s="20"/>
      <c r="D691" s="20"/>
      <c r="E691" s="125"/>
      <c r="F691" s="125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20"/>
      <c r="B692" s="20"/>
      <c r="C692" s="20"/>
      <c r="D692" s="20"/>
      <c r="E692" s="125"/>
      <c r="F692" s="125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20"/>
      <c r="B693" s="20"/>
      <c r="C693" s="20"/>
      <c r="D693" s="20"/>
      <c r="E693" s="125"/>
      <c r="F693" s="125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20"/>
      <c r="B694" s="20"/>
      <c r="C694" s="20"/>
      <c r="D694" s="20"/>
      <c r="E694" s="125"/>
      <c r="F694" s="125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20"/>
      <c r="B695" s="20"/>
      <c r="C695" s="20"/>
      <c r="D695" s="20"/>
      <c r="E695" s="125"/>
      <c r="F695" s="125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20"/>
      <c r="B696" s="20"/>
      <c r="C696" s="20"/>
      <c r="D696" s="20"/>
      <c r="E696" s="125"/>
      <c r="F696" s="125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20"/>
      <c r="B697" s="20"/>
      <c r="C697" s="20"/>
      <c r="D697" s="20"/>
      <c r="E697" s="125"/>
      <c r="F697" s="125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20"/>
      <c r="B698" s="20"/>
      <c r="C698" s="20"/>
      <c r="D698" s="20"/>
      <c r="E698" s="125"/>
      <c r="F698" s="125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20"/>
      <c r="B699" s="20"/>
      <c r="C699" s="20"/>
      <c r="D699" s="20"/>
      <c r="E699" s="125"/>
      <c r="F699" s="125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20"/>
      <c r="B700" s="20"/>
      <c r="C700" s="20"/>
      <c r="D700" s="20"/>
      <c r="E700" s="125"/>
      <c r="F700" s="125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20"/>
      <c r="B701" s="20"/>
      <c r="C701" s="20"/>
      <c r="D701" s="20"/>
      <c r="E701" s="125"/>
      <c r="F701" s="125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20"/>
      <c r="B702" s="20"/>
      <c r="C702" s="20"/>
      <c r="D702" s="20"/>
      <c r="E702" s="125"/>
      <c r="F702" s="125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20"/>
      <c r="B703" s="20"/>
      <c r="C703" s="20"/>
      <c r="D703" s="20"/>
      <c r="E703" s="125"/>
      <c r="F703" s="125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20"/>
      <c r="B704" s="20"/>
      <c r="C704" s="20"/>
      <c r="D704" s="20"/>
      <c r="E704" s="125"/>
      <c r="F704" s="125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20"/>
      <c r="B705" s="20"/>
      <c r="C705" s="20"/>
      <c r="D705" s="20"/>
      <c r="E705" s="125"/>
      <c r="F705" s="125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20"/>
      <c r="B706" s="20"/>
      <c r="C706" s="20"/>
      <c r="D706" s="20"/>
      <c r="E706" s="125"/>
      <c r="F706" s="125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20"/>
      <c r="B707" s="20"/>
      <c r="C707" s="20"/>
      <c r="D707" s="20"/>
      <c r="E707" s="125"/>
      <c r="F707" s="125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20"/>
      <c r="B708" s="20"/>
      <c r="C708" s="20"/>
      <c r="D708" s="20"/>
      <c r="E708" s="125"/>
      <c r="F708" s="125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20"/>
      <c r="B709" s="20"/>
      <c r="C709" s="20"/>
      <c r="D709" s="20"/>
      <c r="E709" s="125"/>
      <c r="F709" s="125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20"/>
      <c r="B710" s="20"/>
      <c r="C710" s="20"/>
      <c r="D710" s="20"/>
      <c r="E710" s="125"/>
      <c r="F710" s="125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20"/>
      <c r="B711" s="20"/>
      <c r="C711" s="20"/>
      <c r="D711" s="20"/>
      <c r="E711" s="125"/>
      <c r="F711" s="125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20"/>
      <c r="B712" s="20"/>
      <c r="C712" s="20"/>
      <c r="D712" s="20"/>
      <c r="E712" s="125"/>
      <c r="F712" s="125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20"/>
      <c r="B713" s="20"/>
      <c r="C713" s="20"/>
      <c r="D713" s="20"/>
      <c r="E713" s="125"/>
      <c r="F713" s="125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20"/>
      <c r="B714" s="20"/>
      <c r="C714" s="20"/>
      <c r="D714" s="20"/>
      <c r="E714" s="125"/>
      <c r="F714" s="125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20"/>
      <c r="B715" s="20"/>
      <c r="C715" s="20"/>
      <c r="D715" s="20"/>
      <c r="E715" s="125"/>
      <c r="F715" s="125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20"/>
      <c r="B716" s="20"/>
      <c r="C716" s="20"/>
      <c r="D716" s="20"/>
      <c r="E716" s="125"/>
      <c r="F716" s="125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20"/>
      <c r="B717" s="20"/>
      <c r="C717" s="20"/>
      <c r="D717" s="20"/>
      <c r="E717" s="125"/>
      <c r="F717" s="125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20"/>
      <c r="B718" s="20"/>
      <c r="C718" s="20"/>
      <c r="D718" s="20"/>
      <c r="E718" s="125"/>
      <c r="F718" s="125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20"/>
      <c r="B719" s="20"/>
      <c r="C719" s="20"/>
      <c r="D719" s="20"/>
      <c r="E719" s="125"/>
      <c r="F719" s="125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20"/>
      <c r="B720" s="20"/>
      <c r="C720" s="20"/>
      <c r="D720" s="20"/>
      <c r="E720" s="125"/>
      <c r="F720" s="125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20"/>
      <c r="B721" s="20"/>
      <c r="C721" s="20"/>
      <c r="D721" s="20"/>
      <c r="E721" s="125"/>
      <c r="F721" s="125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20"/>
      <c r="B722" s="20"/>
      <c r="C722" s="20"/>
      <c r="D722" s="20"/>
      <c r="E722" s="125"/>
      <c r="F722" s="125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20"/>
      <c r="B723" s="20"/>
      <c r="C723" s="20"/>
      <c r="D723" s="20"/>
      <c r="E723" s="125"/>
      <c r="F723" s="125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20"/>
      <c r="B724" s="20"/>
      <c r="C724" s="20"/>
      <c r="D724" s="20"/>
      <c r="E724" s="125"/>
      <c r="F724" s="125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20"/>
      <c r="B725" s="20"/>
      <c r="C725" s="20"/>
      <c r="D725" s="20"/>
      <c r="E725" s="125"/>
      <c r="F725" s="125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20"/>
      <c r="B726" s="20"/>
      <c r="C726" s="20"/>
      <c r="D726" s="20"/>
      <c r="E726" s="125"/>
      <c r="F726" s="125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20"/>
      <c r="B727" s="20"/>
      <c r="C727" s="20"/>
      <c r="D727" s="20"/>
      <c r="E727" s="125"/>
      <c r="F727" s="125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20"/>
      <c r="B728" s="20"/>
      <c r="C728" s="20"/>
      <c r="D728" s="20"/>
      <c r="E728" s="125"/>
      <c r="F728" s="125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20"/>
      <c r="B729" s="20"/>
      <c r="C729" s="20"/>
      <c r="D729" s="20"/>
      <c r="E729" s="125"/>
      <c r="F729" s="125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20"/>
      <c r="B730" s="20"/>
      <c r="C730" s="20"/>
      <c r="D730" s="20"/>
      <c r="E730" s="125"/>
      <c r="F730" s="125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20"/>
      <c r="B731" s="20"/>
      <c r="C731" s="20"/>
      <c r="D731" s="20"/>
      <c r="E731" s="125"/>
      <c r="F731" s="125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20"/>
      <c r="B732" s="20"/>
      <c r="C732" s="20"/>
      <c r="D732" s="20"/>
      <c r="E732" s="125"/>
      <c r="F732" s="125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20"/>
      <c r="B733" s="20"/>
      <c r="C733" s="20"/>
      <c r="D733" s="20"/>
      <c r="E733" s="125"/>
      <c r="F733" s="125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20"/>
      <c r="B734" s="20"/>
      <c r="C734" s="20"/>
      <c r="D734" s="20"/>
      <c r="E734" s="125"/>
      <c r="F734" s="125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20"/>
      <c r="B735" s="20"/>
      <c r="C735" s="20"/>
      <c r="D735" s="20"/>
      <c r="E735" s="125"/>
      <c r="F735" s="125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20"/>
      <c r="B736" s="20"/>
      <c r="C736" s="20"/>
      <c r="D736" s="20"/>
      <c r="E736" s="125"/>
      <c r="F736" s="125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20"/>
      <c r="B737" s="20"/>
      <c r="C737" s="20"/>
      <c r="D737" s="20"/>
      <c r="E737" s="125"/>
      <c r="F737" s="125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20"/>
      <c r="B738" s="20"/>
      <c r="C738" s="20"/>
      <c r="D738" s="20"/>
      <c r="E738" s="125"/>
      <c r="F738" s="125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20"/>
      <c r="B739" s="20"/>
      <c r="C739" s="20"/>
      <c r="D739" s="20"/>
      <c r="E739" s="125"/>
      <c r="F739" s="125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20"/>
      <c r="B740" s="20"/>
      <c r="C740" s="20"/>
      <c r="D740" s="20"/>
      <c r="E740" s="125"/>
      <c r="F740" s="125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20"/>
      <c r="B741" s="20"/>
      <c r="C741" s="20"/>
      <c r="D741" s="20"/>
      <c r="E741" s="125"/>
      <c r="F741" s="125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20"/>
      <c r="B742" s="20"/>
      <c r="C742" s="20"/>
      <c r="D742" s="20"/>
      <c r="E742" s="125"/>
      <c r="F742" s="125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20"/>
      <c r="B743" s="20"/>
      <c r="C743" s="20"/>
      <c r="D743" s="20"/>
      <c r="E743" s="125"/>
      <c r="F743" s="125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20"/>
      <c r="B744" s="20"/>
      <c r="C744" s="20"/>
      <c r="D744" s="20"/>
      <c r="E744" s="125"/>
      <c r="F744" s="125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20"/>
      <c r="B745" s="20"/>
      <c r="C745" s="20"/>
      <c r="D745" s="20"/>
      <c r="E745" s="125"/>
      <c r="F745" s="125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20"/>
      <c r="B746" s="20"/>
      <c r="C746" s="20"/>
      <c r="D746" s="20"/>
      <c r="E746" s="125"/>
      <c r="F746" s="125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20"/>
      <c r="B747" s="20"/>
      <c r="C747" s="20"/>
      <c r="D747" s="20"/>
      <c r="E747" s="125"/>
      <c r="F747" s="125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20"/>
      <c r="B748" s="20"/>
      <c r="C748" s="20"/>
      <c r="D748" s="20"/>
      <c r="E748" s="125"/>
      <c r="F748" s="125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20"/>
      <c r="B749" s="20"/>
      <c r="C749" s="20"/>
      <c r="D749" s="20"/>
      <c r="E749" s="125"/>
      <c r="F749" s="125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20"/>
      <c r="B750" s="20"/>
      <c r="C750" s="20"/>
      <c r="D750" s="20"/>
      <c r="E750" s="125"/>
      <c r="F750" s="125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20"/>
      <c r="B751" s="20"/>
      <c r="C751" s="20"/>
      <c r="D751" s="20"/>
      <c r="E751" s="125"/>
      <c r="F751" s="125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20"/>
      <c r="B752" s="20"/>
      <c r="C752" s="20"/>
      <c r="D752" s="20"/>
      <c r="E752" s="125"/>
      <c r="F752" s="125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20"/>
      <c r="B753" s="20"/>
      <c r="C753" s="20"/>
      <c r="D753" s="20"/>
      <c r="E753" s="125"/>
      <c r="F753" s="125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20"/>
      <c r="B754" s="20"/>
      <c r="C754" s="20"/>
      <c r="D754" s="20"/>
      <c r="E754" s="125"/>
      <c r="F754" s="125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20"/>
      <c r="B755" s="20"/>
      <c r="C755" s="20"/>
      <c r="D755" s="20"/>
      <c r="E755" s="125"/>
      <c r="F755" s="125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20"/>
      <c r="B756" s="20"/>
      <c r="C756" s="20"/>
      <c r="D756" s="20"/>
      <c r="E756" s="125"/>
      <c r="F756" s="125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20"/>
      <c r="B757" s="20"/>
      <c r="C757" s="20"/>
      <c r="D757" s="20"/>
      <c r="E757" s="125"/>
      <c r="F757" s="125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20"/>
      <c r="B758" s="20"/>
      <c r="C758" s="20"/>
      <c r="D758" s="20"/>
      <c r="E758" s="125"/>
      <c r="F758" s="125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20"/>
      <c r="B759" s="20"/>
      <c r="C759" s="20"/>
      <c r="D759" s="20"/>
      <c r="E759" s="125"/>
      <c r="F759" s="125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20"/>
      <c r="B760" s="20"/>
      <c r="C760" s="20"/>
      <c r="D760" s="20"/>
      <c r="E760" s="125"/>
      <c r="F760" s="125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20"/>
      <c r="B761" s="20"/>
      <c r="C761" s="20"/>
      <c r="D761" s="20"/>
      <c r="E761" s="125"/>
      <c r="F761" s="125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20"/>
      <c r="B762" s="20"/>
      <c r="C762" s="20"/>
      <c r="D762" s="20"/>
      <c r="E762" s="125"/>
      <c r="F762" s="125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20"/>
      <c r="B763" s="20"/>
      <c r="C763" s="20"/>
      <c r="D763" s="20"/>
      <c r="E763" s="125"/>
      <c r="F763" s="125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20"/>
      <c r="B764" s="20"/>
      <c r="C764" s="20"/>
      <c r="D764" s="20"/>
      <c r="E764" s="125"/>
      <c r="F764" s="125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20"/>
      <c r="B765" s="20"/>
      <c r="C765" s="20"/>
      <c r="D765" s="20"/>
      <c r="E765" s="125"/>
      <c r="F765" s="125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20"/>
      <c r="B766" s="20"/>
      <c r="C766" s="20"/>
      <c r="D766" s="20"/>
      <c r="E766" s="125"/>
      <c r="F766" s="125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20"/>
      <c r="B767" s="20"/>
      <c r="C767" s="20"/>
      <c r="D767" s="20"/>
      <c r="E767" s="125"/>
      <c r="F767" s="125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20"/>
      <c r="B768" s="20"/>
      <c r="C768" s="20"/>
      <c r="D768" s="20"/>
      <c r="E768" s="125"/>
      <c r="F768" s="125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20"/>
      <c r="B769" s="20"/>
      <c r="C769" s="20"/>
      <c r="D769" s="20"/>
      <c r="E769" s="125"/>
      <c r="F769" s="125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20"/>
      <c r="B770" s="20"/>
      <c r="C770" s="20"/>
      <c r="D770" s="20"/>
      <c r="E770" s="125"/>
      <c r="F770" s="125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20"/>
      <c r="B771" s="20"/>
      <c r="C771" s="20"/>
      <c r="D771" s="20"/>
      <c r="E771" s="125"/>
      <c r="F771" s="125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20"/>
      <c r="B772" s="20"/>
      <c r="C772" s="20"/>
      <c r="D772" s="20"/>
      <c r="E772" s="125"/>
      <c r="F772" s="125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20"/>
      <c r="B773" s="20"/>
      <c r="C773" s="20"/>
      <c r="D773" s="20"/>
      <c r="E773" s="125"/>
      <c r="F773" s="125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20"/>
      <c r="B774" s="20"/>
      <c r="C774" s="20"/>
      <c r="D774" s="20"/>
      <c r="E774" s="125"/>
      <c r="F774" s="125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20"/>
      <c r="B775" s="20"/>
      <c r="C775" s="20"/>
      <c r="D775" s="20"/>
      <c r="E775" s="125"/>
      <c r="F775" s="125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20"/>
      <c r="B776" s="20"/>
      <c r="C776" s="20"/>
      <c r="D776" s="20"/>
      <c r="E776" s="125"/>
      <c r="F776" s="125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20"/>
      <c r="B777" s="20"/>
      <c r="C777" s="20"/>
      <c r="D777" s="20"/>
      <c r="E777" s="125"/>
      <c r="F777" s="125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20"/>
      <c r="B778" s="20"/>
      <c r="C778" s="20"/>
      <c r="D778" s="20"/>
      <c r="E778" s="125"/>
      <c r="F778" s="125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20"/>
      <c r="B779" s="20"/>
      <c r="C779" s="20"/>
      <c r="D779" s="20"/>
      <c r="E779" s="125"/>
      <c r="F779" s="125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20"/>
      <c r="B780" s="20"/>
      <c r="C780" s="20"/>
      <c r="D780" s="20"/>
      <c r="E780" s="125"/>
      <c r="F780" s="125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20"/>
      <c r="B781" s="20"/>
      <c r="C781" s="20"/>
      <c r="D781" s="20"/>
      <c r="E781" s="125"/>
      <c r="F781" s="125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20"/>
      <c r="B782" s="20"/>
      <c r="C782" s="20"/>
      <c r="D782" s="20"/>
      <c r="E782" s="125"/>
      <c r="F782" s="125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20"/>
      <c r="B783" s="20"/>
      <c r="C783" s="20"/>
      <c r="D783" s="20"/>
      <c r="E783" s="125"/>
      <c r="F783" s="125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20"/>
      <c r="B784" s="20"/>
      <c r="C784" s="20"/>
      <c r="D784" s="20"/>
      <c r="E784" s="125"/>
      <c r="F784" s="125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20"/>
      <c r="B785" s="20"/>
      <c r="C785" s="20"/>
      <c r="D785" s="20"/>
      <c r="E785" s="125"/>
      <c r="F785" s="125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20"/>
      <c r="B786" s="20"/>
      <c r="C786" s="20"/>
      <c r="D786" s="20"/>
      <c r="E786" s="125"/>
      <c r="F786" s="125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20"/>
      <c r="B787" s="20"/>
      <c r="C787" s="20"/>
      <c r="D787" s="20"/>
      <c r="E787" s="125"/>
      <c r="F787" s="125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20"/>
      <c r="B788" s="20"/>
      <c r="C788" s="20"/>
      <c r="D788" s="20"/>
      <c r="E788" s="125"/>
      <c r="F788" s="125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20"/>
      <c r="B789" s="20"/>
      <c r="C789" s="20"/>
      <c r="D789" s="20"/>
      <c r="E789" s="125"/>
      <c r="F789" s="125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20"/>
      <c r="B790" s="20"/>
      <c r="C790" s="20"/>
      <c r="D790" s="20"/>
      <c r="E790" s="125"/>
      <c r="F790" s="125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20"/>
      <c r="B791" s="20"/>
      <c r="C791" s="20"/>
      <c r="D791" s="20"/>
      <c r="E791" s="125"/>
      <c r="F791" s="125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20"/>
      <c r="B792" s="20"/>
      <c r="C792" s="20"/>
      <c r="D792" s="20"/>
      <c r="E792" s="125"/>
      <c r="F792" s="125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20"/>
      <c r="B793" s="20"/>
      <c r="C793" s="20"/>
      <c r="D793" s="20"/>
      <c r="E793" s="125"/>
      <c r="F793" s="125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20"/>
      <c r="B794" s="20"/>
      <c r="C794" s="20"/>
      <c r="D794" s="20"/>
      <c r="E794" s="125"/>
      <c r="F794" s="125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20"/>
      <c r="B795" s="20"/>
      <c r="C795" s="20"/>
      <c r="D795" s="20"/>
      <c r="E795" s="125"/>
      <c r="F795" s="125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20"/>
      <c r="B796" s="20"/>
      <c r="C796" s="20"/>
      <c r="D796" s="20"/>
      <c r="E796" s="125"/>
      <c r="F796" s="125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20"/>
      <c r="B797" s="20"/>
      <c r="C797" s="20"/>
      <c r="D797" s="20"/>
      <c r="E797" s="125"/>
      <c r="F797" s="125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20"/>
      <c r="B798" s="20"/>
      <c r="C798" s="20"/>
      <c r="D798" s="20"/>
      <c r="E798" s="125"/>
      <c r="F798" s="125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20"/>
      <c r="B799" s="20"/>
      <c r="C799" s="20"/>
      <c r="D799" s="20"/>
      <c r="E799" s="125"/>
      <c r="F799" s="125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20"/>
      <c r="B800" s="20"/>
      <c r="C800" s="20"/>
      <c r="D800" s="20"/>
      <c r="E800" s="125"/>
      <c r="F800" s="125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20"/>
      <c r="B801" s="20"/>
      <c r="C801" s="20"/>
      <c r="D801" s="20"/>
      <c r="E801" s="125"/>
      <c r="F801" s="125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20"/>
      <c r="B802" s="20"/>
      <c r="C802" s="20"/>
      <c r="D802" s="20"/>
      <c r="E802" s="125"/>
      <c r="F802" s="125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20"/>
      <c r="B803" s="20"/>
      <c r="C803" s="20"/>
      <c r="D803" s="20"/>
      <c r="E803" s="125"/>
      <c r="F803" s="125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20"/>
      <c r="B804" s="20"/>
      <c r="C804" s="20"/>
      <c r="D804" s="20"/>
      <c r="E804" s="125"/>
      <c r="F804" s="125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20"/>
      <c r="B805" s="20"/>
      <c r="C805" s="20"/>
      <c r="D805" s="20"/>
      <c r="E805" s="125"/>
      <c r="F805" s="125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20"/>
      <c r="B806" s="20"/>
      <c r="C806" s="20"/>
      <c r="D806" s="20"/>
      <c r="E806" s="125"/>
      <c r="F806" s="125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20"/>
      <c r="B807" s="20"/>
      <c r="C807" s="20"/>
      <c r="D807" s="20"/>
      <c r="E807" s="125"/>
      <c r="F807" s="125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20"/>
      <c r="B808" s="20"/>
      <c r="C808" s="20"/>
      <c r="D808" s="20"/>
      <c r="E808" s="125"/>
      <c r="F808" s="125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20"/>
      <c r="B809" s="20"/>
      <c r="C809" s="20"/>
      <c r="D809" s="20"/>
      <c r="E809" s="125"/>
      <c r="F809" s="125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20"/>
      <c r="B810" s="20"/>
      <c r="C810" s="20"/>
      <c r="D810" s="20"/>
      <c r="E810" s="125"/>
      <c r="F810" s="125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>
      <c r="A811" s="20"/>
      <c r="B811" s="20"/>
      <c r="C811" s="20"/>
      <c r="D811" s="20"/>
      <c r="E811" s="125"/>
      <c r="F811" s="125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>
      <c r="A812" s="20"/>
      <c r="B812" s="20"/>
      <c r="C812" s="20"/>
      <c r="D812" s="20"/>
      <c r="E812" s="125"/>
      <c r="F812" s="125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>
      <c r="A813" s="20"/>
      <c r="B813" s="20"/>
      <c r="C813" s="20"/>
      <c r="D813" s="20"/>
      <c r="E813" s="125"/>
      <c r="F813" s="125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>
      <c r="A814" s="20"/>
      <c r="B814" s="20"/>
      <c r="C814" s="20"/>
      <c r="D814" s="20"/>
      <c r="E814" s="125"/>
      <c r="F814" s="125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>
      <c r="A815" s="20"/>
      <c r="B815" s="20"/>
      <c r="C815" s="20"/>
      <c r="D815" s="20"/>
      <c r="E815" s="125"/>
      <c r="F815" s="125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>
      <c r="A816" s="20"/>
      <c r="B816" s="20"/>
      <c r="C816" s="20"/>
      <c r="D816" s="20"/>
      <c r="E816" s="125"/>
      <c r="F816" s="125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>
      <c r="A817" s="20"/>
      <c r="B817" s="20"/>
      <c r="C817" s="20"/>
      <c r="D817" s="20"/>
      <c r="E817" s="125"/>
      <c r="F817" s="125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>
      <c r="A818" s="20"/>
      <c r="B818" s="20"/>
      <c r="C818" s="20"/>
      <c r="D818" s="20"/>
      <c r="E818" s="125"/>
      <c r="F818" s="125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>
      <c r="A819" s="20"/>
      <c r="B819" s="20"/>
      <c r="C819" s="20"/>
      <c r="D819" s="20"/>
      <c r="E819" s="125"/>
      <c r="F819" s="125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20"/>
      <c r="B820" s="20"/>
      <c r="C820" s="20"/>
      <c r="D820" s="20"/>
      <c r="E820" s="125"/>
      <c r="F820" s="125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20"/>
      <c r="B821" s="20"/>
      <c r="C821" s="20"/>
      <c r="D821" s="20"/>
      <c r="E821" s="125"/>
      <c r="F821" s="125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20"/>
      <c r="B822" s="20"/>
      <c r="C822" s="20"/>
      <c r="D822" s="20"/>
      <c r="E822" s="125"/>
      <c r="F822" s="125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20"/>
      <c r="B823" s="20"/>
      <c r="C823" s="20"/>
      <c r="D823" s="20"/>
      <c r="E823" s="125"/>
      <c r="F823" s="125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20"/>
      <c r="B824" s="20"/>
      <c r="C824" s="20"/>
      <c r="D824" s="20"/>
      <c r="E824" s="125"/>
      <c r="F824" s="125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20"/>
      <c r="B825" s="20"/>
      <c r="C825" s="20"/>
      <c r="D825" s="20"/>
      <c r="E825" s="125"/>
      <c r="F825" s="125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20"/>
      <c r="B826" s="20"/>
      <c r="C826" s="20"/>
      <c r="D826" s="20"/>
      <c r="E826" s="125"/>
      <c r="F826" s="125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20"/>
      <c r="B827" s="20"/>
      <c r="C827" s="20"/>
      <c r="D827" s="20"/>
      <c r="E827" s="125"/>
      <c r="F827" s="125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20"/>
      <c r="B828" s="20"/>
      <c r="C828" s="20"/>
      <c r="D828" s="20"/>
      <c r="E828" s="125"/>
      <c r="F828" s="125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20"/>
      <c r="B829" s="20"/>
      <c r="C829" s="20"/>
      <c r="D829" s="20"/>
      <c r="E829" s="125"/>
      <c r="F829" s="125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20"/>
      <c r="B830" s="20"/>
      <c r="C830" s="20"/>
      <c r="D830" s="20"/>
      <c r="E830" s="125"/>
      <c r="F830" s="125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20"/>
      <c r="B831" s="20"/>
      <c r="C831" s="20"/>
      <c r="D831" s="20"/>
      <c r="E831" s="125"/>
      <c r="F831" s="125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20"/>
      <c r="B832" s="20"/>
      <c r="C832" s="20"/>
      <c r="D832" s="20"/>
      <c r="E832" s="125"/>
      <c r="F832" s="125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20"/>
      <c r="B833" s="20"/>
      <c r="C833" s="20"/>
      <c r="D833" s="20"/>
      <c r="E833" s="125"/>
      <c r="F833" s="125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20"/>
      <c r="B834" s="20"/>
      <c r="C834" s="20"/>
      <c r="D834" s="20"/>
      <c r="E834" s="125"/>
      <c r="F834" s="125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20"/>
      <c r="B835" s="20"/>
      <c r="C835" s="20"/>
      <c r="D835" s="20"/>
      <c r="E835" s="125"/>
      <c r="F835" s="125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20"/>
      <c r="B836" s="20"/>
      <c r="C836" s="20"/>
      <c r="D836" s="20"/>
      <c r="E836" s="125"/>
      <c r="F836" s="125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20"/>
      <c r="B837" s="20"/>
      <c r="C837" s="20"/>
      <c r="D837" s="20"/>
      <c r="E837" s="125"/>
      <c r="F837" s="125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20"/>
      <c r="B838" s="20"/>
      <c r="C838" s="20"/>
      <c r="D838" s="20"/>
      <c r="E838" s="125"/>
      <c r="F838" s="125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20"/>
      <c r="B839" s="20"/>
      <c r="C839" s="20"/>
      <c r="D839" s="20"/>
      <c r="E839" s="125"/>
      <c r="F839" s="125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20"/>
      <c r="B840" s="20"/>
      <c r="C840" s="20"/>
      <c r="D840" s="20"/>
      <c r="E840" s="125"/>
      <c r="F840" s="125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20"/>
      <c r="B841" s="20"/>
      <c r="C841" s="20"/>
      <c r="D841" s="20"/>
      <c r="E841" s="125"/>
      <c r="F841" s="125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20"/>
      <c r="B842" s="20"/>
      <c r="C842" s="20"/>
      <c r="D842" s="20"/>
      <c r="E842" s="125"/>
      <c r="F842" s="125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20"/>
      <c r="B843" s="20"/>
      <c r="C843" s="20"/>
      <c r="D843" s="20"/>
      <c r="E843" s="125"/>
      <c r="F843" s="125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20"/>
      <c r="B844" s="20"/>
      <c r="C844" s="20"/>
      <c r="D844" s="20"/>
      <c r="E844" s="125"/>
      <c r="F844" s="125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20"/>
      <c r="B845" s="20"/>
      <c r="C845" s="20"/>
      <c r="D845" s="20"/>
      <c r="E845" s="125"/>
      <c r="F845" s="125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20"/>
      <c r="B846" s="20"/>
      <c r="C846" s="20"/>
      <c r="D846" s="20"/>
      <c r="E846" s="125"/>
      <c r="F846" s="125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20"/>
      <c r="B847" s="20"/>
      <c r="C847" s="20"/>
      <c r="D847" s="20"/>
      <c r="E847" s="125"/>
      <c r="F847" s="125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20"/>
      <c r="B848" s="20"/>
      <c r="C848" s="20"/>
      <c r="D848" s="20"/>
      <c r="E848" s="125"/>
      <c r="F848" s="125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20"/>
      <c r="B849" s="20"/>
      <c r="C849" s="20"/>
      <c r="D849" s="20"/>
      <c r="E849" s="125"/>
      <c r="F849" s="125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20"/>
      <c r="B850" s="20"/>
      <c r="C850" s="20"/>
      <c r="D850" s="20"/>
      <c r="E850" s="125"/>
      <c r="F850" s="125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20"/>
      <c r="B851" s="20"/>
      <c r="C851" s="20"/>
      <c r="D851" s="20"/>
      <c r="E851" s="125"/>
      <c r="F851" s="125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20"/>
      <c r="B852" s="20"/>
      <c r="C852" s="20"/>
      <c r="D852" s="20"/>
      <c r="E852" s="125"/>
      <c r="F852" s="125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>
      <c r="A853" s="20"/>
      <c r="B853" s="20"/>
      <c r="C853" s="20"/>
      <c r="D853" s="20"/>
      <c r="E853" s="125"/>
      <c r="F853" s="125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20"/>
      <c r="B854" s="20"/>
      <c r="C854" s="20"/>
      <c r="D854" s="20"/>
      <c r="E854" s="125"/>
      <c r="F854" s="125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20"/>
      <c r="B855" s="20"/>
      <c r="C855" s="20"/>
      <c r="D855" s="20"/>
      <c r="E855" s="125"/>
      <c r="F855" s="125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20"/>
      <c r="B856" s="20"/>
      <c r="C856" s="20"/>
      <c r="D856" s="20"/>
      <c r="E856" s="125"/>
      <c r="F856" s="125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20"/>
      <c r="B857" s="20"/>
      <c r="C857" s="20"/>
      <c r="D857" s="20"/>
      <c r="E857" s="125"/>
      <c r="F857" s="125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20"/>
      <c r="B858" s="20"/>
      <c r="C858" s="20"/>
      <c r="D858" s="20"/>
      <c r="E858" s="125"/>
      <c r="F858" s="125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20"/>
      <c r="B859" s="20"/>
      <c r="C859" s="20"/>
      <c r="D859" s="20"/>
      <c r="E859" s="125"/>
      <c r="F859" s="125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20"/>
      <c r="B860" s="20"/>
      <c r="C860" s="20"/>
      <c r="D860" s="20"/>
      <c r="E860" s="125"/>
      <c r="F860" s="125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20"/>
      <c r="B861" s="20"/>
      <c r="C861" s="20"/>
      <c r="D861" s="20"/>
      <c r="E861" s="125"/>
      <c r="F861" s="125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20"/>
      <c r="B862" s="20"/>
      <c r="C862" s="20"/>
      <c r="D862" s="20"/>
      <c r="E862" s="125"/>
      <c r="F862" s="125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20"/>
      <c r="B863" s="20"/>
      <c r="C863" s="20"/>
      <c r="D863" s="20"/>
      <c r="E863" s="125"/>
      <c r="F863" s="125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20"/>
      <c r="B864" s="20"/>
      <c r="C864" s="20"/>
      <c r="D864" s="20"/>
      <c r="E864" s="125"/>
      <c r="F864" s="125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20"/>
      <c r="B865" s="20"/>
      <c r="C865" s="20"/>
      <c r="D865" s="20"/>
      <c r="E865" s="125"/>
      <c r="F865" s="125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20"/>
      <c r="B866" s="20"/>
      <c r="C866" s="20"/>
      <c r="D866" s="20"/>
      <c r="E866" s="125"/>
      <c r="F866" s="125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20"/>
      <c r="B867" s="20"/>
      <c r="C867" s="20"/>
      <c r="D867" s="20"/>
      <c r="E867" s="125"/>
      <c r="F867" s="125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20"/>
      <c r="B868" s="20"/>
      <c r="C868" s="20"/>
      <c r="D868" s="20"/>
      <c r="E868" s="125"/>
      <c r="F868" s="125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20"/>
      <c r="B869" s="20"/>
      <c r="C869" s="20"/>
      <c r="D869" s="20"/>
      <c r="E869" s="125"/>
      <c r="F869" s="125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20"/>
      <c r="B870" s="20"/>
      <c r="C870" s="20"/>
      <c r="D870" s="20"/>
      <c r="E870" s="125"/>
      <c r="F870" s="125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20"/>
      <c r="B871" s="20"/>
      <c r="C871" s="20"/>
      <c r="D871" s="20"/>
      <c r="E871" s="125"/>
      <c r="F871" s="125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20"/>
      <c r="B872" s="20"/>
      <c r="C872" s="20"/>
      <c r="D872" s="20"/>
      <c r="E872" s="125"/>
      <c r="F872" s="125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20"/>
      <c r="B873" s="20"/>
      <c r="C873" s="20"/>
      <c r="D873" s="20"/>
      <c r="E873" s="125"/>
      <c r="F873" s="125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20"/>
      <c r="B874" s="20"/>
      <c r="C874" s="20"/>
      <c r="D874" s="20"/>
      <c r="E874" s="125"/>
      <c r="F874" s="125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20"/>
      <c r="B875" s="20"/>
      <c r="C875" s="20"/>
      <c r="D875" s="20"/>
      <c r="E875" s="125"/>
      <c r="F875" s="125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20"/>
      <c r="B876" s="20"/>
      <c r="C876" s="20"/>
      <c r="D876" s="20"/>
      <c r="E876" s="125"/>
      <c r="F876" s="125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20"/>
      <c r="B877" s="20"/>
      <c r="C877" s="20"/>
      <c r="D877" s="20"/>
      <c r="E877" s="125"/>
      <c r="F877" s="125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20"/>
      <c r="B878" s="20"/>
      <c r="C878" s="20"/>
      <c r="D878" s="20"/>
      <c r="E878" s="125"/>
      <c r="F878" s="125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20"/>
      <c r="B879" s="20"/>
      <c r="C879" s="20"/>
      <c r="D879" s="20"/>
      <c r="E879" s="125"/>
      <c r="F879" s="125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20"/>
      <c r="B880" s="20"/>
      <c r="C880" s="20"/>
      <c r="D880" s="20"/>
      <c r="E880" s="125"/>
      <c r="F880" s="125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20"/>
      <c r="B881" s="20"/>
      <c r="C881" s="20"/>
      <c r="D881" s="20"/>
      <c r="E881" s="125"/>
      <c r="F881" s="125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20"/>
      <c r="B882" s="20"/>
      <c r="C882" s="20"/>
      <c r="D882" s="20"/>
      <c r="E882" s="125"/>
      <c r="F882" s="125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20"/>
      <c r="B883" s="20"/>
      <c r="C883" s="20"/>
      <c r="D883" s="20"/>
      <c r="E883" s="125"/>
      <c r="F883" s="125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20"/>
      <c r="B884" s="20"/>
      <c r="C884" s="20"/>
      <c r="D884" s="20"/>
      <c r="E884" s="125"/>
      <c r="F884" s="125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20"/>
      <c r="B885" s="20"/>
      <c r="C885" s="20"/>
      <c r="D885" s="20"/>
      <c r="E885" s="125"/>
      <c r="F885" s="125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20"/>
      <c r="B886" s="20"/>
      <c r="C886" s="20"/>
      <c r="D886" s="20"/>
      <c r="E886" s="125"/>
      <c r="F886" s="125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20"/>
      <c r="B887" s="20"/>
      <c r="C887" s="20"/>
      <c r="D887" s="20"/>
      <c r="E887" s="125"/>
      <c r="F887" s="125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20"/>
      <c r="B888" s="20"/>
      <c r="C888" s="20"/>
      <c r="D888" s="20"/>
      <c r="E888" s="125"/>
      <c r="F888" s="125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20"/>
      <c r="B889" s="20"/>
      <c r="C889" s="20"/>
      <c r="D889" s="20"/>
      <c r="E889" s="125"/>
      <c r="F889" s="125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20"/>
      <c r="B890" s="20"/>
      <c r="C890" s="20"/>
      <c r="D890" s="20"/>
      <c r="E890" s="125"/>
      <c r="F890" s="125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20"/>
      <c r="B891" s="20"/>
      <c r="C891" s="20"/>
      <c r="D891" s="20"/>
      <c r="E891" s="125"/>
      <c r="F891" s="125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20"/>
      <c r="B892" s="20"/>
      <c r="C892" s="20"/>
      <c r="D892" s="20"/>
      <c r="E892" s="125"/>
      <c r="F892" s="125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20"/>
      <c r="B893" s="20"/>
      <c r="C893" s="20"/>
      <c r="D893" s="20"/>
      <c r="E893" s="125"/>
      <c r="F893" s="125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20"/>
      <c r="B894" s="20"/>
      <c r="C894" s="20"/>
      <c r="D894" s="20"/>
      <c r="E894" s="125"/>
      <c r="F894" s="125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20"/>
      <c r="B895" s="20"/>
      <c r="C895" s="20"/>
      <c r="D895" s="20"/>
      <c r="E895" s="125"/>
      <c r="F895" s="125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20"/>
      <c r="B896" s="20"/>
      <c r="C896" s="20"/>
      <c r="D896" s="20"/>
      <c r="E896" s="125"/>
      <c r="F896" s="125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20"/>
      <c r="B897" s="20"/>
      <c r="C897" s="20"/>
      <c r="D897" s="20"/>
      <c r="E897" s="125"/>
      <c r="F897" s="125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20"/>
      <c r="B898" s="20"/>
      <c r="C898" s="20"/>
      <c r="D898" s="20"/>
      <c r="E898" s="125"/>
      <c r="F898" s="125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20"/>
      <c r="B899" s="20"/>
      <c r="C899" s="20"/>
      <c r="D899" s="20"/>
      <c r="E899" s="125"/>
      <c r="F899" s="125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20"/>
      <c r="B900" s="20"/>
      <c r="C900" s="20"/>
      <c r="D900" s="20"/>
      <c r="E900" s="125"/>
      <c r="F900" s="125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20"/>
      <c r="B901" s="20"/>
      <c r="C901" s="20"/>
      <c r="D901" s="20"/>
      <c r="E901" s="125"/>
      <c r="F901" s="125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20"/>
      <c r="B902" s="20"/>
      <c r="C902" s="20"/>
      <c r="D902" s="20"/>
      <c r="E902" s="125"/>
      <c r="F902" s="125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20"/>
      <c r="B903" s="20"/>
      <c r="C903" s="20"/>
      <c r="D903" s="20"/>
      <c r="E903" s="125"/>
      <c r="F903" s="125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20"/>
      <c r="B904" s="20"/>
      <c r="C904" s="20"/>
      <c r="D904" s="20"/>
      <c r="E904" s="125"/>
      <c r="F904" s="125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20"/>
      <c r="B905" s="20"/>
      <c r="C905" s="20"/>
      <c r="D905" s="20"/>
      <c r="E905" s="125"/>
      <c r="F905" s="125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20"/>
      <c r="B906" s="20"/>
      <c r="C906" s="20"/>
      <c r="D906" s="20"/>
      <c r="E906" s="125"/>
      <c r="F906" s="125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20"/>
      <c r="B907" s="20"/>
      <c r="C907" s="20"/>
      <c r="D907" s="20"/>
      <c r="E907" s="125"/>
      <c r="F907" s="125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20"/>
      <c r="B908" s="20"/>
      <c r="C908" s="20"/>
      <c r="D908" s="20"/>
      <c r="E908" s="125"/>
      <c r="F908" s="125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20"/>
      <c r="B909" s="20"/>
      <c r="C909" s="20"/>
      <c r="D909" s="20"/>
      <c r="E909" s="125"/>
      <c r="F909" s="125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20"/>
      <c r="B910" s="20"/>
      <c r="C910" s="20"/>
      <c r="D910" s="20"/>
      <c r="E910" s="125"/>
      <c r="F910" s="125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20"/>
      <c r="B911" s="20"/>
      <c r="C911" s="20"/>
      <c r="D911" s="20"/>
      <c r="E911" s="125"/>
      <c r="F911" s="125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20"/>
      <c r="B912" s="20"/>
      <c r="C912" s="20"/>
      <c r="D912" s="20"/>
      <c r="E912" s="125"/>
      <c r="F912" s="125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20"/>
      <c r="B913" s="20"/>
      <c r="C913" s="20"/>
      <c r="D913" s="20"/>
      <c r="E913" s="125"/>
      <c r="F913" s="125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20"/>
      <c r="B914" s="20"/>
      <c r="C914" s="20"/>
      <c r="D914" s="20"/>
      <c r="E914" s="125"/>
      <c r="F914" s="125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20"/>
      <c r="B915" s="20"/>
      <c r="C915" s="20"/>
      <c r="D915" s="20"/>
      <c r="E915" s="125"/>
      <c r="F915" s="125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20"/>
      <c r="B916" s="20"/>
      <c r="C916" s="20"/>
      <c r="D916" s="20"/>
      <c r="E916" s="125"/>
      <c r="F916" s="125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20"/>
      <c r="B917" s="20"/>
      <c r="C917" s="20"/>
      <c r="D917" s="20"/>
      <c r="E917" s="125"/>
      <c r="F917" s="125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20"/>
      <c r="B918" s="20"/>
      <c r="C918" s="20"/>
      <c r="D918" s="20"/>
      <c r="E918" s="125"/>
      <c r="F918" s="125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20"/>
      <c r="B919" s="20"/>
      <c r="C919" s="20"/>
      <c r="D919" s="20"/>
      <c r="E919" s="125"/>
      <c r="F919" s="125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20"/>
      <c r="B920" s="20"/>
      <c r="C920" s="20"/>
      <c r="D920" s="20"/>
      <c r="E920" s="125"/>
      <c r="F920" s="125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20"/>
      <c r="B921" s="20"/>
      <c r="C921" s="20"/>
      <c r="D921" s="20"/>
      <c r="E921" s="125"/>
      <c r="F921" s="125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>
      <c r="A922" s="20"/>
      <c r="B922" s="20"/>
      <c r="C922" s="20"/>
      <c r="D922" s="20"/>
      <c r="E922" s="125"/>
      <c r="F922" s="125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>
      <c r="A923" s="20"/>
      <c r="B923" s="20"/>
      <c r="C923" s="20"/>
      <c r="D923" s="20"/>
      <c r="E923" s="125"/>
      <c r="F923" s="125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>
      <c r="A924" s="20"/>
      <c r="B924" s="20"/>
      <c r="C924" s="20"/>
      <c r="D924" s="20"/>
      <c r="E924" s="125"/>
      <c r="F924" s="125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>
      <c r="A925" s="20"/>
      <c r="B925" s="20"/>
      <c r="C925" s="20"/>
      <c r="D925" s="20"/>
      <c r="E925" s="125"/>
      <c r="F925" s="125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>
      <c r="A926" s="20"/>
      <c r="B926" s="20"/>
      <c r="C926" s="20"/>
      <c r="D926" s="20"/>
      <c r="E926" s="125"/>
      <c r="F926" s="125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>
      <c r="A927" s="20"/>
      <c r="B927" s="20"/>
      <c r="C927" s="20"/>
      <c r="D927" s="20"/>
      <c r="E927" s="125"/>
      <c r="F927" s="125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>
      <c r="A928" s="20"/>
      <c r="B928" s="20"/>
      <c r="C928" s="20"/>
      <c r="D928" s="20"/>
      <c r="E928" s="125"/>
      <c r="F928" s="125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>
      <c r="A929" s="20"/>
      <c r="B929" s="20"/>
      <c r="C929" s="20"/>
      <c r="D929" s="20"/>
      <c r="E929" s="125"/>
      <c r="F929" s="125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>
      <c r="A930" s="20"/>
      <c r="B930" s="20"/>
      <c r="C930" s="20"/>
      <c r="D930" s="20"/>
      <c r="E930" s="125"/>
      <c r="F930" s="125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>
      <c r="A931" s="20"/>
      <c r="B931" s="20"/>
      <c r="C931" s="20"/>
      <c r="D931" s="20"/>
      <c r="E931" s="125"/>
      <c r="F931" s="125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>
      <c r="A932" s="20"/>
      <c r="B932" s="20"/>
      <c r="C932" s="20"/>
      <c r="D932" s="20"/>
      <c r="E932" s="125"/>
      <c r="F932" s="125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>
      <c r="A933" s="20"/>
      <c r="B933" s="20"/>
      <c r="C933" s="20"/>
      <c r="D933" s="20"/>
      <c r="E933" s="125"/>
      <c r="F933" s="125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>
      <c r="A934" s="20"/>
      <c r="B934" s="20"/>
      <c r="C934" s="20"/>
      <c r="D934" s="20"/>
      <c r="E934" s="125"/>
      <c r="F934" s="125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>
      <c r="A935" s="20"/>
      <c r="B935" s="20"/>
      <c r="C935" s="20"/>
      <c r="D935" s="20"/>
      <c r="E935" s="125"/>
      <c r="F935" s="125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>
      <c r="A936" s="20"/>
      <c r="B936" s="20"/>
      <c r="C936" s="20"/>
      <c r="D936" s="20"/>
      <c r="E936" s="125"/>
      <c r="F936" s="125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>
      <c r="A937" s="20"/>
      <c r="B937" s="20"/>
      <c r="C937" s="20"/>
      <c r="D937" s="20"/>
      <c r="E937" s="125"/>
      <c r="F937" s="125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>
      <c r="A938" s="20"/>
      <c r="B938" s="20"/>
      <c r="C938" s="20"/>
      <c r="D938" s="20"/>
      <c r="E938" s="125"/>
      <c r="F938" s="125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>
      <c r="A939" s="20"/>
      <c r="B939" s="20"/>
      <c r="C939" s="20"/>
      <c r="D939" s="20"/>
      <c r="E939" s="125"/>
      <c r="F939" s="125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>
      <c r="A940" s="20"/>
      <c r="B940" s="20"/>
      <c r="C940" s="20"/>
      <c r="D940" s="20"/>
      <c r="E940" s="125"/>
      <c r="F940" s="125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>
      <c r="A941" s="20"/>
      <c r="B941" s="20"/>
      <c r="C941" s="20"/>
      <c r="D941" s="20"/>
      <c r="E941" s="125"/>
      <c r="F941" s="125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>
      <c r="A942" s="20"/>
      <c r="B942" s="20"/>
      <c r="C942" s="20"/>
      <c r="D942" s="20"/>
      <c r="E942" s="125"/>
      <c r="F942" s="125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>
      <c r="A943" s="20"/>
      <c r="B943" s="20"/>
      <c r="C943" s="20"/>
      <c r="D943" s="20"/>
      <c r="E943" s="125"/>
      <c r="F943" s="125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>
      <c r="A944" s="20"/>
      <c r="B944" s="20"/>
      <c r="C944" s="20"/>
      <c r="D944" s="20"/>
      <c r="E944" s="125"/>
      <c r="F944" s="125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>
      <c r="A945" s="20"/>
      <c r="B945" s="20"/>
      <c r="C945" s="20"/>
      <c r="D945" s="20"/>
      <c r="E945" s="125"/>
      <c r="F945" s="125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>
      <c r="A946" s="20"/>
      <c r="B946" s="20"/>
      <c r="C946" s="20"/>
      <c r="D946" s="20"/>
      <c r="E946" s="125"/>
      <c r="F946" s="125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>
      <c r="A947" s="20"/>
      <c r="B947" s="20"/>
      <c r="C947" s="20"/>
      <c r="D947" s="20"/>
      <c r="E947" s="125"/>
      <c r="F947" s="125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>
      <c r="A948" s="20"/>
      <c r="B948" s="20"/>
      <c r="C948" s="20"/>
      <c r="D948" s="20"/>
      <c r="E948" s="125"/>
      <c r="F948" s="125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>
      <c r="A949" s="20"/>
      <c r="B949" s="20"/>
      <c r="C949" s="20"/>
      <c r="D949" s="20"/>
      <c r="E949" s="125"/>
      <c r="F949" s="125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>
      <c r="A950" s="20"/>
      <c r="B950" s="20"/>
      <c r="C950" s="20"/>
      <c r="D950" s="20"/>
      <c r="E950" s="125"/>
      <c r="F950" s="125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>
      <c r="A951" s="20"/>
      <c r="B951" s="20"/>
      <c r="C951" s="20"/>
      <c r="D951" s="20"/>
      <c r="E951" s="125"/>
      <c r="F951" s="125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>
      <c r="A952" s="20"/>
      <c r="B952" s="20"/>
      <c r="C952" s="20"/>
      <c r="D952" s="20"/>
      <c r="E952" s="125"/>
      <c r="F952" s="125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>
      <c r="A953" s="20"/>
      <c r="B953" s="20"/>
      <c r="C953" s="20"/>
      <c r="D953" s="20"/>
      <c r="E953" s="125"/>
      <c r="F953" s="125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>
      <c r="A954" s="20"/>
      <c r="B954" s="20"/>
      <c r="C954" s="20"/>
      <c r="D954" s="20"/>
      <c r="E954" s="125"/>
      <c r="F954" s="125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>
      <c r="A955" s="20"/>
      <c r="B955" s="20"/>
      <c r="C955" s="20"/>
      <c r="D955" s="20"/>
      <c r="E955" s="125"/>
      <c r="F955" s="125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>
      <c r="A956" s="20"/>
      <c r="B956" s="20"/>
      <c r="C956" s="20"/>
      <c r="D956" s="20"/>
      <c r="E956" s="125"/>
      <c r="F956" s="125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>
      <c r="A957" s="20"/>
      <c r="B957" s="20"/>
      <c r="C957" s="20"/>
      <c r="D957" s="20"/>
      <c r="E957" s="125"/>
      <c r="F957" s="125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>
      <c r="A958" s="20"/>
      <c r="B958" s="20"/>
      <c r="C958" s="20"/>
      <c r="D958" s="20"/>
      <c r="E958" s="125"/>
      <c r="F958" s="125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>
      <c r="A959" s="20"/>
      <c r="B959" s="20"/>
      <c r="C959" s="20"/>
      <c r="D959" s="20"/>
      <c r="E959" s="125"/>
      <c r="F959" s="125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>
      <c r="A960" s="20"/>
      <c r="B960" s="20"/>
      <c r="C960" s="20"/>
      <c r="D960" s="20"/>
      <c r="E960" s="125"/>
      <c r="F960" s="125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>
      <c r="A961" s="20"/>
      <c r="B961" s="20"/>
      <c r="C961" s="20"/>
      <c r="D961" s="20"/>
      <c r="E961" s="125"/>
      <c r="F961" s="125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>
      <c r="A962" s="20"/>
      <c r="B962" s="20"/>
      <c r="C962" s="20"/>
      <c r="D962" s="20"/>
      <c r="E962" s="125"/>
      <c r="F962" s="125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>
      <c r="A963" s="20"/>
      <c r="B963" s="20"/>
      <c r="C963" s="20"/>
      <c r="D963" s="20"/>
      <c r="E963" s="125"/>
      <c r="F963" s="125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>
      <c r="A964" s="20"/>
      <c r="B964" s="20"/>
      <c r="C964" s="20"/>
      <c r="D964" s="20"/>
      <c r="E964" s="125"/>
      <c r="F964" s="125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>
      <c r="A965" s="20"/>
      <c r="B965" s="20"/>
      <c r="C965" s="20"/>
      <c r="D965" s="20"/>
      <c r="E965" s="125"/>
      <c r="F965" s="125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>
      <c r="A966" s="20"/>
      <c r="B966" s="20"/>
      <c r="C966" s="20"/>
      <c r="D966" s="20"/>
      <c r="E966" s="125"/>
      <c r="F966" s="125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>
      <c r="A967" s="20"/>
      <c r="B967" s="20"/>
      <c r="C967" s="20"/>
      <c r="D967" s="20"/>
      <c r="E967" s="125"/>
      <c r="F967" s="125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>
      <c r="A968" s="20"/>
      <c r="B968" s="20"/>
      <c r="C968" s="20"/>
      <c r="D968" s="20"/>
      <c r="E968" s="125"/>
      <c r="F968" s="125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>
      <c r="A969" s="20"/>
      <c r="B969" s="20"/>
      <c r="C969" s="20"/>
      <c r="D969" s="20"/>
      <c r="E969" s="125"/>
      <c r="F969" s="125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>
      <c r="A970" s="20"/>
      <c r="B970" s="20"/>
      <c r="C970" s="20"/>
      <c r="D970" s="20"/>
      <c r="E970" s="125"/>
      <c r="F970" s="125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>
      <c r="A971" s="20"/>
      <c r="B971" s="20"/>
      <c r="C971" s="20"/>
      <c r="D971" s="20"/>
      <c r="E971" s="125"/>
      <c r="F971" s="125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>
      <c r="A972" s="20"/>
      <c r="B972" s="20"/>
      <c r="C972" s="20"/>
      <c r="D972" s="20"/>
      <c r="E972" s="125"/>
      <c r="F972" s="125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>
      <c r="A973" s="20"/>
      <c r="B973" s="20"/>
      <c r="C973" s="20"/>
      <c r="D973" s="20"/>
      <c r="E973" s="125"/>
      <c r="F973" s="125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>
      <c r="A974" s="20"/>
      <c r="B974" s="20"/>
      <c r="C974" s="20"/>
      <c r="D974" s="20"/>
      <c r="E974" s="125"/>
      <c r="F974" s="125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>
      <c r="A975" s="20"/>
      <c r="B975" s="20"/>
      <c r="C975" s="20"/>
      <c r="D975" s="20"/>
      <c r="E975" s="125"/>
      <c r="F975" s="125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>
      <c r="A976" s="20"/>
      <c r="B976" s="20"/>
      <c r="C976" s="20"/>
      <c r="D976" s="20"/>
      <c r="E976" s="125"/>
      <c r="F976" s="125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>
      <c r="A977" s="20"/>
      <c r="B977" s="20"/>
      <c r="C977" s="20"/>
      <c r="D977" s="20"/>
      <c r="E977" s="125"/>
      <c r="F977" s="125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>
      <c r="A978" s="20"/>
      <c r="B978" s="20"/>
      <c r="C978" s="20"/>
      <c r="D978" s="20"/>
      <c r="E978" s="125"/>
      <c r="F978" s="125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>
      <c r="A979" s="20"/>
      <c r="B979" s="20"/>
      <c r="C979" s="20"/>
      <c r="D979" s="20"/>
      <c r="E979" s="125"/>
      <c r="F979" s="125"/>
      <c r="G979" s="20"/>
      <c r="H979" s="20"/>
    </row>
    <row r="980">
      <c r="A980" s="20"/>
      <c r="B980" s="20"/>
      <c r="C980" s="20"/>
      <c r="D980" s="20"/>
      <c r="E980" s="125"/>
      <c r="F980" s="125"/>
      <c r="G980" s="20"/>
      <c r="H980" s="20"/>
    </row>
    <row r="981">
      <c r="A981" s="20"/>
      <c r="B981" s="20"/>
      <c r="C981" s="20"/>
      <c r="D981" s="20"/>
      <c r="E981" s="125"/>
      <c r="F981" s="125"/>
      <c r="G981" s="20"/>
      <c r="H981" s="20"/>
    </row>
    <row r="982">
      <c r="A982" s="20"/>
      <c r="B982" s="20"/>
      <c r="C982" s="20"/>
      <c r="D982" s="20"/>
      <c r="E982" s="125"/>
      <c r="F982" s="125"/>
      <c r="G982" s="20"/>
      <c r="H982" s="20"/>
    </row>
    <row r="983">
      <c r="A983" s="20"/>
      <c r="B983" s="20"/>
      <c r="C983" s="20"/>
      <c r="D983" s="20"/>
      <c r="E983" s="125"/>
      <c r="F983" s="125"/>
      <c r="G983" s="20"/>
      <c r="H983" s="20"/>
    </row>
    <row r="984">
      <c r="A984" s="20"/>
      <c r="B984" s="20"/>
      <c r="C984" s="20"/>
      <c r="D984" s="20"/>
      <c r="E984" s="125"/>
      <c r="F984" s="125"/>
      <c r="G984" s="20"/>
      <c r="H984" s="20"/>
    </row>
    <row r="985">
      <c r="A985" s="20"/>
      <c r="B985" s="20"/>
      <c r="C985" s="20"/>
      <c r="D985" s="20"/>
      <c r="E985" s="125"/>
      <c r="F985" s="125"/>
      <c r="G985" s="20"/>
      <c r="H985" s="20"/>
    </row>
  </sheetData>
  <mergeCells count="1">
    <mergeCell ref="A1:D1"/>
  </mergeCells>
  <dataValidations>
    <dataValidation type="custom" allowBlank="1" showDropDown="1" sqref="A8:A40">
      <formula1>OR(NOT(ISERROR(DATEVALUE(A8))), AND(ISNUMBER(A8), LEFT(CELL("format", A8))="D"))</formula1>
    </dataValidation>
    <dataValidation type="custom" allowBlank="1" showDropDown="1" sqref="E8:E40">
      <formula1>AND(ISNUMBER(E8),(NOT(OR(NOT(ISERROR(DATEVALUE(E8))), AND(ISNUMBER(E8), LEFT(CELL("format", E8))="D")))))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1.25"/>
  </cols>
  <sheetData>
    <row r="2">
      <c r="B2" s="195" t="s">
        <v>227</v>
      </c>
      <c r="C2" s="196" t="s">
        <v>210</v>
      </c>
      <c r="D2" s="195" t="s">
        <v>228</v>
      </c>
      <c r="E2" s="195" t="s">
        <v>229</v>
      </c>
      <c r="F2" s="197" t="s">
        <v>230</v>
      </c>
      <c r="G2" s="197" t="s">
        <v>231</v>
      </c>
      <c r="H2" s="195" t="s">
        <v>214</v>
      </c>
      <c r="I2" s="195" t="s">
        <v>232</v>
      </c>
      <c r="J2" s="198" t="s">
        <v>233</v>
      </c>
    </row>
    <row r="3">
      <c r="A3" s="199"/>
      <c r="B3" s="200">
        <v>46055.0</v>
      </c>
      <c r="C3" s="201" t="s">
        <v>217</v>
      </c>
      <c r="D3" s="201" t="s">
        <v>218</v>
      </c>
      <c r="E3" s="201" t="s">
        <v>234</v>
      </c>
      <c r="F3" s="202">
        <v>10000.0</v>
      </c>
      <c r="G3" s="203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>
      <c r="A4" s="199"/>
      <c r="B4" s="200">
        <v>46054.0</v>
      </c>
      <c r="C4" s="201" t="s">
        <v>217</v>
      </c>
      <c r="D4" s="201" t="s">
        <v>218</v>
      </c>
      <c r="E4" s="201" t="s">
        <v>122</v>
      </c>
      <c r="F4" s="202">
        <v>10000.0</v>
      </c>
      <c r="G4" s="203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>
      <c r="A5" s="199"/>
      <c r="B5" s="200">
        <v>46054.0</v>
      </c>
      <c r="C5" s="201" t="s">
        <v>217</v>
      </c>
      <c r="D5" s="201" t="s">
        <v>218</v>
      </c>
      <c r="E5" s="201" t="s">
        <v>235</v>
      </c>
      <c r="F5" s="202">
        <v>5000.0</v>
      </c>
      <c r="G5" s="203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>
      <c r="B6" s="200">
        <v>46054.0</v>
      </c>
      <c r="C6" s="201" t="s">
        <v>217</v>
      </c>
      <c r="D6" s="201" t="s">
        <v>218</v>
      </c>
      <c r="E6" s="201" t="s">
        <v>236</v>
      </c>
      <c r="F6" s="202">
        <v>5000.0</v>
      </c>
      <c r="G6" s="204"/>
    </row>
    <row r="7">
      <c r="B7" s="205">
        <v>46054.0</v>
      </c>
      <c r="C7" s="198" t="s">
        <v>217</v>
      </c>
      <c r="D7" s="198" t="s">
        <v>218</v>
      </c>
      <c r="E7" s="198" t="s">
        <v>237</v>
      </c>
      <c r="F7" s="197">
        <v>2000.0</v>
      </c>
      <c r="G7" s="204"/>
    </row>
    <row r="8">
      <c r="B8" s="205">
        <v>46054.0</v>
      </c>
      <c r="C8" s="198" t="s">
        <v>217</v>
      </c>
      <c r="D8" s="198" t="s">
        <v>218</v>
      </c>
      <c r="E8" s="198" t="s">
        <v>153</v>
      </c>
      <c r="F8" s="197">
        <v>1000.0</v>
      </c>
      <c r="G8" s="204"/>
    </row>
    <row r="9">
      <c r="B9" s="200">
        <v>46054.0</v>
      </c>
      <c r="C9" s="201" t="s">
        <v>217</v>
      </c>
      <c r="D9" s="201" t="s">
        <v>218</v>
      </c>
      <c r="E9" s="201" t="s">
        <v>238</v>
      </c>
      <c r="F9" s="202">
        <v>5000.0</v>
      </c>
      <c r="G9" s="204"/>
      <c r="J9" s="198" t="s">
        <v>239</v>
      </c>
    </row>
    <row r="10">
      <c r="B10" s="205">
        <v>46054.0</v>
      </c>
      <c r="C10" s="198" t="s">
        <v>240</v>
      </c>
      <c r="D10" s="198" t="s">
        <v>31</v>
      </c>
      <c r="E10" s="198" t="s">
        <v>241</v>
      </c>
      <c r="F10" s="197">
        <v>100.0</v>
      </c>
      <c r="G10" s="204"/>
    </row>
    <row r="11">
      <c r="B11" s="205">
        <v>46054.0</v>
      </c>
      <c r="C11" s="198" t="s">
        <v>240</v>
      </c>
      <c r="D11" s="198" t="s">
        <v>224</v>
      </c>
      <c r="E11" s="198" t="s">
        <v>242</v>
      </c>
      <c r="F11" s="197">
        <v>300.0</v>
      </c>
      <c r="G11" s="204"/>
    </row>
    <row r="12">
      <c r="B12" s="205">
        <v>46054.0</v>
      </c>
      <c r="C12" s="198" t="s">
        <v>240</v>
      </c>
      <c r="D12" s="198" t="s">
        <v>243</v>
      </c>
      <c r="E12" s="198" t="s">
        <v>33</v>
      </c>
      <c r="F12" s="197">
        <v>500.0</v>
      </c>
      <c r="G12" s="204"/>
    </row>
    <row r="13">
      <c r="B13" s="200">
        <v>46082.0</v>
      </c>
      <c r="C13" s="201" t="s">
        <v>217</v>
      </c>
      <c r="D13" s="201" t="s">
        <v>218</v>
      </c>
      <c r="E13" s="201" t="s">
        <v>244</v>
      </c>
      <c r="F13" s="202">
        <v>15000.0</v>
      </c>
      <c r="G13" s="204"/>
      <c r="H13" s="204"/>
    </row>
    <row r="14">
      <c r="B14" s="205">
        <v>46082.0</v>
      </c>
      <c r="C14" s="198" t="s">
        <v>217</v>
      </c>
      <c r="D14" s="198" t="s">
        <v>218</v>
      </c>
      <c r="E14" s="198" t="s">
        <v>245</v>
      </c>
      <c r="F14" s="197">
        <v>8000.0</v>
      </c>
      <c r="G14" s="204"/>
    </row>
    <row r="15">
      <c r="B15" s="205">
        <v>46082.0</v>
      </c>
      <c r="C15" s="198" t="s">
        <v>217</v>
      </c>
      <c r="D15" s="198" t="s">
        <v>218</v>
      </c>
      <c r="E15" s="198" t="s">
        <v>246</v>
      </c>
      <c r="F15" s="204">
        <v>7000.0</v>
      </c>
      <c r="G15" s="204"/>
    </row>
    <row r="16">
      <c r="B16" s="205">
        <v>46082.0</v>
      </c>
      <c r="C16" s="198" t="s">
        <v>217</v>
      </c>
      <c r="D16" s="198" t="s">
        <v>218</v>
      </c>
      <c r="E16" s="198" t="s">
        <v>247</v>
      </c>
      <c r="F16" s="197">
        <v>15000.0</v>
      </c>
      <c r="G16" s="204"/>
    </row>
    <row r="17">
      <c r="B17" s="200">
        <v>46082.0</v>
      </c>
      <c r="C17" s="201" t="s">
        <v>217</v>
      </c>
      <c r="D17" s="201" t="s">
        <v>218</v>
      </c>
      <c r="E17" s="201" t="s">
        <v>248</v>
      </c>
      <c r="F17" s="202">
        <v>5000.0</v>
      </c>
      <c r="G17" s="204"/>
    </row>
    <row r="18">
      <c r="B18" s="205">
        <v>46082.0</v>
      </c>
      <c r="C18" s="198" t="s">
        <v>217</v>
      </c>
      <c r="D18" s="198" t="s">
        <v>218</v>
      </c>
      <c r="E18" s="198" t="s">
        <v>249</v>
      </c>
      <c r="F18" s="197">
        <v>2000.0</v>
      </c>
      <c r="G18" s="204"/>
    </row>
    <row r="19">
      <c r="B19" s="205">
        <v>46082.0</v>
      </c>
      <c r="C19" s="198" t="s">
        <v>217</v>
      </c>
      <c r="D19" s="198" t="s">
        <v>218</v>
      </c>
      <c r="E19" s="198" t="s">
        <v>153</v>
      </c>
      <c r="F19" s="197">
        <v>1000.0</v>
      </c>
      <c r="G19" s="204"/>
    </row>
    <row r="20">
      <c r="B20" s="205">
        <v>46082.0</v>
      </c>
      <c r="C20" s="198" t="s">
        <v>240</v>
      </c>
      <c r="D20" s="198" t="s">
        <v>224</v>
      </c>
      <c r="E20" s="198" t="s">
        <v>250</v>
      </c>
      <c r="F20" s="197">
        <v>500.0</v>
      </c>
      <c r="G20" s="204"/>
    </row>
    <row r="21">
      <c r="B21" s="205">
        <v>46082.0</v>
      </c>
      <c r="C21" s="198" t="s">
        <v>240</v>
      </c>
      <c r="D21" s="198" t="s">
        <v>224</v>
      </c>
      <c r="E21" s="198" t="s">
        <v>251</v>
      </c>
      <c r="F21" s="197">
        <v>500.0</v>
      </c>
      <c r="G21" s="204"/>
    </row>
    <row r="22">
      <c r="B22" s="205">
        <v>46082.0</v>
      </c>
      <c r="C22" s="198" t="s">
        <v>240</v>
      </c>
      <c r="D22" s="198" t="s">
        <v>243</v>
      </c>
      <c r="E22" s="198" t="s">
        <v>33</v>
      </c>
      <c r="F22" s="197">
        <v>500.0</v>
      </c>
      <c r="G22" s="204"/>
    </row>
    <row r="23">
      <c r="B23" s="205">
        <v>46082.0</v>
      </c>
      <c r="C23" s="198" t="s">
        <v>240</v>
      </c>
      <c r="D23" s="198" t="s">
        <v>224</v>
      </c>
      <c r="E23" s="198" t="s">
        <v>252</v>
      </c>
      <c r="F23" s="197">
        <v>300.0</v>
      </c>
      <c r="G23" s="204"/>
    </row>
    <row r="24">
      <c r="B24" s="205">
        <v>46082.0</v>
      </c>
      <c r="C24" s="198" t="s">
        <v>240</v>
      </c>
      <c r="D24" s="198" t="s">
        <v>31</v>
      </c>
      <c r="E24" s="198" t="s">
        <v>253</v>
      </c>
      <c r="F24" s="197">
        <v>100.0</v>
      </c>
      <c r="G24" s="20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3" max="3" width="15.38"/>
    <col customWidth="1" min="4" max="4" width="43.25"/>
    <col customWidth="1" min="5" max="5" width="42.75"/>
    <col customWidth="1" min="6" max="6" width="35.75"/>
    <col customWidth="1" min="7" max="7" width="18.0"/>
    <col customWidth="1" min="8" max="8" width="30.25"/>
    <col hidden="1" min="9" max="16" width="12.63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</row>
    <row r="2">
      <c r="A2" s="28"/>
      <c r="B2" s="206" t="s">
        <v>266</v>
      </c>
      <c r="C2" s="207" t="s">
        <v>67</v>
      </c>
      <c r="D2" s="207" t="s">
        <v>267</v>
      </c>
      <c r="E2" s="207" t="s">
        <v>268</v>
      </c>
      <c r="F2" s="206" t="s">
        <v>269</v>
      </c>
      <c r="G2" s="208"/>
      <c r="H2" s="209"/>
      <c r="I2" s="210" t="s">
        <v>270</v>
      </c>
      <c r="J2" s="211"/>
      <c r="K2" s="211"/>
      <c r="L2" s="211"/>
      <c r="M2" s="211"/>
      <c r="N2" s="211"/>
      <c r="O2" s="212"/>
      <c r="P2" s="213"/>
    </row>
    <row r="3">
      <c r="A3" s="28"/>
      <c r="B3" s="42"/>
      <c r="C3" s="42"/>
      <c r="D3" s="42"/>
      <c r="E3" s="42"/>
      <c r="F3" s="42"/>
      <c r="G3" s="214"/>
      <c r="H3" s="215"/>
      <c r="I3" s="216" t="s">
        <v>271</v>
      </c>
      <c r="J3" s="216" t="s">
        <v>272</v>
      </c>
      <c r="K3" s="216" t="s">
        <v>273</v>
      </c>
      <c r="L3" s="216" t="s">
        <v>274</v>
      </c>
      <c r="M3" s="216" t="s">
        <v>275</v>
      </c>
      <c r="N3" s="217" t="s">
        <v>276</v>
      </c>
      <c r="O3" s="218" t="s">
        <v>277</v>
      </c>
      <c r="P3" s="219" t="s">
        <v>278</v>
      </c>
    </row>
    <row r="4">
      <c r="A4" s="28"/>
      <c r="B4" s="220" t="s">
        <v>217</v>
      </c>
      <c r="C4" s="221"/>
      <c r="D4" s="222"/>
      <c r="E4" s="223"/>
      <c r="F4" s="224" t="s">
        <v>279</v>
      </c>
      <c r="G4" s="225" t="s">
        <v>280</v>
      </c>
      <c r="H4" s="224" t="s">
        <v>281</v>
      </c>
      <c r="I4" s="222"/>
      <c r="J4" s="222"/>
      <c r="K4" s="222"/>
      <c r="L4" s="222"/>
      <c r="M4" s="222"/>
      <c r="N4" s="222"/>
      <c r="O4" s="222"/>
      <c r="P4" s="223"/>
    </row>
    <row r="5">
      <c r="A5" s="28"/>
      <c r="C5" s="226" t="s">
        <v>282</v>
      </c>
      <c r="D5" s="227" t="s">
        <v>283</v>
      </c>
      <c r="E5" s="228" t="s">
        <v>284</v>
      </c>
      <c r="F5" s="229" t="s">
        <v>285</v>
      </c>
      <c r="G5" s="230">
        <v>10000.0</v>
      </c>
      <c r="H5" s="231" t="s">
        <v>286</v>
      </c>
      <c r="I5" s="28"/>
      <c r="J5" s="28"/>
      <c r="K5" s="28"/>
      <c r="L5" s="28"/>
      <c r="M5" s="28"/>
      <c r="N5" s="28"/>
      <c r="O5" s="28"/>
      <c r="P5" s="232"/>
    </row>
    <row r="6">
      <c r="A6" s="28"/>
      <c r="C6" s="233"/>
      <c r="D6" s="87"/>
      <c r="E6" s="234" t="s">
        <v>287</v>
      </c>
      <c r="F6" s="102"/>
      <c r="G6" s="235">
        <v>15000.0</v>
      </c>
      <c r="H6" s="236" t="s">
        <v>288</v>
      </c>
      <c r="I6" s="28"/>
      <c r="J6" s="28"/>
      <c r="K6" s="28"/>
      <c r="L6" s="28"/>
      <c r="M6" s="28"/>
      <c r="N6" s="28"/>
      <c r="O6" s="28"/>
      <c r="P6" s="232"/>
    </row>
    <row r="7">
      <c r="A7" s="28"/>
      <c r="C7" s="237" t="s">
        <v>62</v>
      </c>
      <c r="D7" s="238" t="s">
        <v>289</v>
      </c>
      <c r="E7" s="239" t="s">
        <v>290</v>
      </c>
      <c r="F7" s="238" t="s">
        <v>291</v>
      </c>
      <c r="G7" s="240">
        <v>3000.0</v>
      </c>
      <c r="H7" s="238" t="s">
        <v>286</v>
      </c>
      <c r="I7" s="28"/>
      <c r="J7" s="28"/>
      <c r="K7" s="28"/>
      <c r="L7" s="28"/>
      <c r="M7" s="28"/>
      <c r="N7" s="28"/>
      <c r="O7" s="28"/>
      <c r="P7" s="232"/>
    </row>
    <row r="8">
      <c r="A8" s="28"/>
      <c r="C8" s="102"/>
      <c r="D8" s="229" t="s">
        <v>292</v>
      </c>
      <c r="E8" s="241" t="s">
        <v>293</v>
      </c>
      <c r="F8" s="236" t="s">
        <v>294</v>
      </c>
      <c r="G8" s="235">
        <v>2000.0</v>
      </c>
      <c r="H8" s="236" t="s">
        <v>288</v>
      </c>
      <c r="I8" s="28"/>
      <c r="J8" s="28"/>
      <c r="K8" s="28"/>
      <c r="L8" s="28"/>
      <c r="M8" s="28"/>
      <c r="N8" s="28"/>
      <c r="O8" s="28"/>
      <c r="P8" s="232"/>
    </row>
    <row r="9">
      <c r="A9" s="28"/>
      <c r="C9" s="237" t="s">
        <v>295</v>
      </c>
      <c r="D9" s="242" t="s">
        <v>296</v>
      </c>
      <c r="E9" s="243" t="s">
        <v>297</v>
      </c>
      <c r="F9" s="242" t="s">
        <v>298</v>
      </c>
      <c r="G9" s="240">
        <v>5000.0</v>
      </c>
      <c r="H9" s="238" t="s">
        <v>286</v>
      </c>
      <c r="I9" s="28"/>
      <c r="J9" s="28"/>
      <c r="K9" s="28"/>
      <c r="L9" s="28"/>
      <c r="M9" s="28"/>
      <c r="N9" s="28"/>
      <c r="O9" s="28"/>
      <c r="P9" s="232"/>
    </row>
    <row r="10">
      <c r="A10" s="28"/>
      <c r="C10" s="102"/>
      <c r="D10" s="102"/>
      <c r="E10" s="244" t="s">
        <v>299</v>
      </c>
      <c r="F10" s="102"/>
      <c r="G10" s="235">
        <v>5000.0</v>
      </c>
      <c r="H10" s="236" t="s">
        <v>288</v>
      </c>
      <c r="I10" s="28"/>
      <c r="J10" s="28"/>
      <c r="K10" s="28"/>
      <c r="L10" s="28"/>
      <c r="M10" s="28"/>
      <c r="N10" s="28"/>
      <c r="O10" s="28"/>
      <c r="P10" s="232"/>
    </row>
    <row r="11">
      <c r="A11" s="28"/>
      <c r="C11" s="237" t="s">
        <v>300</v>
      </c>
      <c r="D11" s="245" t="s">
        <v>301</v>
      </c>
      <c r="E11" s="243" t="s">
        <v>302</v>
      </c>
      <c r="F11" s="242" t="s">
        <v>303</v>
      </c>
      <c r="G11" s="240">
        <v>10000.0</v>
      </c>
      <c r="H11" s="238" t="s">
        <v>286</v>
      </c>
      <c r="I11" s="28"/>
      <c r="J11" s="28"/>
      <c r="K11" s="28"/>
      <c r="L11" s="28"/>
      <c r="M11" s="28"/>
      <c r="N11" s="28"/>
      <c r="O11" s="28"/>
      <c r="P11" s="232"/>
    </row>
    <row r="12">
      <c r="A12" s="28"/>
      <c r="C12" s="102"/>
      <c r="D12" s="102"/>
      <c r="E12" s="244" t="s">
        <v>304</v>
      </c>
      <c r="F12" s="102"/>
      <c r="G12" s="235">
        <v>15000.0</v>
      </c>
      <c r="H12" s="236" t="s">
        <v>288</v>
      </c>
      <c r="I12" s="28"/>
      <c r="J12" s="28"/>
      <c r="K12" s="28"/>
      <c r="L12" s="28"/>
      <c r="M12" s="28"/>
      <c r="N12" s="28"/>
      <c r="O12" s="28"/>
      <c r="P12" s="232"/>
    </row>
    <row r="13">
      <c r="A13" s="28"/>
      <c r="C13" s="237" t="s">
        <v>305</v>
      </c>
      <c r="D13" s="245" t="s">
        <v>306</v>
      </c>
      <c r="E13" s="243" t="s">
        <v>307</v>
      </c>
      <c r="F13" s="238" t="s">
        <v>308</v>
      </c>
      <c r="G13" s="240">
        <v>5000.0</v>
      </c>
      <c r="H13" s="238" t="s">
        <v>286</v>
      </c>
      <c r="I13" s="28"/>
      <c r="J13" s="28"/>
      <c r="K13" s="28"/>
      <c r="L13" s="28"/>
      <c r="M13" s="28"/>
      <c r="N13" s="28"/>
      <c r="O13" s="28"/>
      <c r="P13" s="232"/>
    </row>
    <row r="14">
      <c r="A14" s="28"/>
      <c r="C14" s="102"/>
      <c r="D14" s="102"/>
      <c r="E14" s="244" t="s">
        <v>309</v>
      </c>
      <c r="F14" s="236" t="s">
        <v>310</v>
      </c>
      <c r="G14" s="235">
        <v>8000.0</v>
      </c>
      <c r="H14" s="236" t="s">
        <v>288</v>
      </c>
      <c r="I14" s="28"/>
      <c r="J14" s="28"/>
      <c r="K14" s="28"/>
      <c r="L14" s="28"/>
      <c r="M14" s="28"/>
      <c r="N14" s="28"/>
      <c r="O14" s="28"/>
      <c r="P14" s="232"/>
    </row>
    <row r="15">
      <c r="A15" s="28"/>
      <c r="C15" s="237" t="s">
        <v>243</v>
      </c>
      <c r="D15" s="245" t="s">
        <v>311</v>
      </c>
      <c r="E15" s="243" t="s">
        <v>312</v>
      </c>
      <c r="F15" s="242" t="s">
        <v>313</v>
      </c>
      <c r="G15" s="240">
        <v>2000.0</v>
      </c>
      <c r="H15" s="246" t="s">
        <v>286</v>
      </c>
      <c r="I15" s="28"/>
      <c r="J15" s="28"/>
      <c r="K15" s="28"/>
      <c r="L15" s="28"/>
      <c r="M15" s="28"/>
      <c r="N15" s="28"/>
      <c r="O15" s="28"/>
      <c r="P15" s="232"/>
    </row>
    <row r="16">
      <c r="A16" s="28"/>
      <c r="C16" s="102"/>
      <c r="D16" s="102"/>
      <c r="E16" s="247" t="s">
        <v>314</v>
      </c>
      <c r="F16" s="102"/>
      <c r="G16" s="230">
        <v>2000.0</v>
      </c>
      <c r="H16" s="248" t="s">
        <v>288</v>
      </c>
      <c r="I16" s="28"/>
      <c r="J16" s="28"/>
      <c r="K16" s="28"/>
      <c r="L16" s="28"/>
      <c r="M16" s="28"/>
      <c r="N16" s="28"/>
      <c r="O16" s="28"/>
      <c r="P16" s="232"/>
    </row>
    <row r="17">
      <c r="A17" s="28"/>
      <c r="C17" s="249" t="s">
        <v>153</v>
      </c>
      <c r="D17" s="236" t="s">
        <v>315</v>
      </c>
      <c r="E17" s="247" t="s">
        <v>316</v>
      </c>
      <c r="F17" s="236" t="s">
        <v>317</v>
      </c>
      <c r="G17" s="230">
        <v>1000.0</v>
      </c>
      <c r="H17" s="248" t="s">
        <v>286</v>
      </c>
      <c r="I17" s="28"/>
      <c r="J17" s="28"/>
      <c r="K17" s="28"/>
      <c r="L17" s="28"/>
      <c r="M17" s="28"/>
      <c r="N17" s="28"/>
      <c r="O17" s="28"/>
      <c r="P17" s="232"/>
    </row>
    <row r="18">
      <c r="A18" s="28"/>
      <c r="C18" s="102"/>
      <c r="D18" s="102"/>
      <c r="E18" s="247" t="s">
        <v>318</v>
      </c>
      <c r="F18" s="102"/>
      <c r="G18" s="230">
        <v>1000.0</v>
      </c>
      <c r="H18" s="248" t="s">
        <v>288</v>
      </c>
      <c r="I18" s="28"/>
      <c r="J18" s="28"/>
      <c r="K18" s="28"/>
      <c r="L18" s="28"/>
      <c r="M18" s="28"/>
      <c r="N18" s="28"/>
      <c r="O18" s="28"/>
      <c r="P18" s="232"/>
    </row>
    <row r="19">
      <c r="A19" s="250"/>
      <c r="B19" s="251" t="s">
        <v>240</v>
      </c>
      <c r="C19" s="252"/>
      <c r="D19" s="253"/>
      <c r="E19" s="253"/>
      <c r="F19" s="254" t="s">
        <v>279</v>
      </c>
      <c r="G19" s="255" t="s">
        <v>280</v>
      </c>
      <c r="H19" s="256" t="s">
        <v>281</v>
      </c>
      <c r="I19" s="28"/>
      <c r="J19" s="28"/>
      <c r="K19" s="28"/>
      <c r="L19" s="28"/>
      <c r="M19" s="28"/>
      <c r="N19" s="28"/>
      <c r="O19" s="28"/>
      <c r="P19" s="232"/>
    </row>
    <row r="20">
      <c r="A20" s="28"/>
      <c r="B20" s="257"/>
      <c r="C20" s="249" t="s">
        <v>179</v>
      </c>
      <c r="D20" s="236" t="s">
        <v>319</v>
      </c>
      <c r="E20" s="247" t="s">
        <v>320</v>
      </c>
      <c r="F20" s="231" t="s">
        <v>321</v>
      </c>
      <c r="G20" s="231">
        <v>300.0</v>
      </c>
      <c r="H20" s="248" t="s">
        <v>286</v>
      </c>
      <c r="I20" s="28"/>
      <c r="J20" s="28"/>
      <c r="K20" s="28"/>
      <c r="L20" s="28"/>
      <c r="M20" s="28"/>
      <c r="N20" s="28"/>
      <c r="O20" s="28"/>
      <c r="P20" s="232"/>
    </row>
    <row r="21">
      <c r="A21" s="28"/>
      <c r="B21" s="257"/>
      <c r="C21" s="102"/>
      <c r="D21" s="102"/>
      <c r="E21" s="244" t="s">
        <v>322</v>
      </c>
      <c r="F21" s="236" t="s">
        <v>323</v>
      </c>
      <c r="G21" s="236">
        <v>500.0</v>
      </c>
      <c r="H21" s="258" t="s">
        <v>288</v>
      </c>
      <c r="I21" s="28"/>
      <c r="J21" s="28"/>
      <c r="K21" s="28"/>
      <c r="L21" s="28"/>
      <c r="M21" s="28"/>
      <c r="N21" s="28"/>
      <c r="O21" s="28"/>
      <c r="P21" s="232"/>
    </row>
    <row r="22">
      <c r="A22" s="28"/>
      <c r="B22" s="257"/>
      <c r="C22" s="259" t="s">
        <v>243</v>
      </c>
      <c r="D22" s="245" t="s">
        <v>324</v>
      </c>
      <c r="E22" s="238" t="s">
        <v>325</v>
      </c>
      <c r="F22" s="242" t="s">
        <v>326</v>
      </c>
      <c r="G22" s="238">
        <v>500.0</v>
      </c>
      <c r="H22" s="260" t="s">
        <v>286</v>
      </c>
      <c r="I22" s="28"/>
      <c r="J22" s="28"/>
      <c r="K22" s="28"/>
      <c r="L22" s="28"/>
      <c r="M22" s="28"/>
      <c r="N22" s="28"/>
      <c r="O22" s="28"/>
      <c r="P22" s="232"/>
    </row>
    <row r="23">
      <c r="A23" s="28"/>
      <c r="B23" s="257"/>
      <c r="C23" s="102"/>
      <c r="D23" s="102"/>
      <c r="E23" s="236" t="s">
        <v>327</v>
      </c>
      <c r="F23" s="102"/>
      <c r="G23" s="236">
        <v>500.0</v>
      </c>
      <c r="H23" s="261" t="s">
        <v>288</v>
      </c>
      <c r="I23" s="28"/>
      <c r="J23" s="28"/>
      <c r="K23" s="28"/>
      <c r="L23" s="28"/>
      <c r="M23" s="28"/>
      <c r="N23" s="28"/>
      <c r="O23" s="28"/>
      <c r="P23" s="232"/>
    </row>
    <row r="24">
      <c r="A24" s="28"/>
      <c r="B24" s="257"/>
      <c r="C24" s="262" t="s">
        <v>328</v>
      </c>
      <c r="D24" s="242" t="s">
        <v>329</v>
      </c>
      <c r="E24" s="238" t="s">
        <v>330</v>
      </c>
      <c r="F24" s="238" t="s">
        <v>331</v>
      </c>
      <c r="G24" s="238">
        <v>300.0</v>
      </c>
      <c r="H24" s="246" t="s">
        <v>286</v>
      </c>
      <c r="I24" s="28"/>
      <c r="J24" s="28"/>
      <c r="K24" s="28"/>
      <c r="L24" s="28"/>
      <c r="M24" s="28"/>
      <c r="N24" s="28"/>
      <c r="O24" s="28"/>
      <c r="P24" s="232"/>
    </row>
    <row r="25">
      <c r="A25" s="28"/>
      <c r="B25" s="257"/>
      <c r="C25" s="102"/>
      <c r="D25" s="102"/>
      <c r="E25" s="236" t="s">
        <v>332</v>
      </c>
      <c r="F25" s="236" t="s">
        <v>333</v>
      </c>
      <c r="G25" s="236">
        <v>500.0</v>
      </c>
      <c r="H25" s="258" t="s">
        <v>288</v>
      </c>
      <c r="I25" s="28"/>
      <c r="J25" s="28"/>
      <c r="K25" s="28"/>
      <c r="L25" s="28"/>
      <c r="M25" s="28"/>
      <c r="N25" s="28"/>
      <c r="O25" s="28"/>
      <c r="P25" s="232"/>
    </row>
    <row r="26">
      <c r="A26" s="28"/>
      <c r="B26" s="257"/>
      <c r="C26" s="262" t="s">
        <v>31</v>
      </c>
      <c r="D26" s="242" t="s">
        <v>334</v>
      </c>
      <c r="E26" s="238" t="s">
        <v>335</v>
      </c>
      <c r="F26" s="242" t="s">
        <v>336</v>
      </c>
      <c r="G26" s="238">
        <v>100.0</v>
      </c>
      <c r="H26" s="246" t="s">
        <v>286</v>
      </c>
      <c r="I26" s="28"/>
      <c r="J26" s="28"/>
      <c r="K26" s="28"/>
      <c r="L26" s="28"/>
      <c r="M26" s="28"/>
      <c r="N26" s="28"/>
      <c r="O26" s="28"/>
      <c r="P26" s="232"/>
    </row>
    <row r="27">
      <c r="A27" s="28"/>
      <c r="B27" s="263"/>
      <c r="C27" s="264"/>
      <c r="D27" s="264"/>
      <c r="E27" s="265" t="s">
        <v>337</v>
      </c>
      <c r="F27" s="264"/>
      <c r="G27" s="265">
        <v>100.0</v>
      </c>
      <c r="H27" s="266" t="s">
        <v>288</v>
      </c>
      <c r="I27" s="28"/>
      <c r="J27" s="28"/>
      <c r="K27" s="28"/>
      <c r="L27" s="28"/>
      <c r="M27" s="28"/>
      <c r="N27" s="28"/>
      <c r="O27" s="28"/>
      <c r="P27" s="232"/>
    </row>
    <row r="28">
      <c r="A28" s="28"/>
      <c r="B28" s="28"/>
      <c r="H28" s="2"/>
      <c r="I28" s="28"/>
      <c r="J28" s="28"/>
      <c r="K28" s="28"/>
      <c r="L28" s="28"/>
      <c r="M28" s="28"/>
      <c r="N28" s="28"/>
      <c r="O28" s="28"/>
      <c r="P28" s="29"/>
    </row>
    <row r="29">
      <c r="A29" s="28"/>
      <c r="B29" s="28"/>
      <c r="H29" s="28"/>
      <c r="I29" s="28"/>
      <c r="J29" s="28"/>
      <c r="K29" s="28"/>
      <c r="L29" s="28"/>
      <c r="M29" s="28"/>
      <c r="N29" s="28"/>
      <c r="O29" s="28"/>
      <c r="P29" s="29"/>
    </row>
    <row r="30">
      <c r="A30" s="28"/>
      <c r="B30" s="267" t="s">
        <v>338</v>
      </c>
      <c r="C30" s="268"/>
      <c r="D30" s="268"/>
      <c r="E30" s="268"/>
      <c r="F30" s="269" t="s">
        <v>339</v>
      </c>
      <c r="G30" s="269" t="s">
        <v>340</v>
      </c>
      <c r="H30" s="270" t="s">
        <v>215</v>
      </c>
      <c r="I30" s="271"/>
      <c r="J30" s="272"/>
      <c r="K30" s="28"/>
      <c r="L30" s="28"/>
      <c r="M30" s="28"/>
      <c r="N30" s="28"/>
      <c r="O30" s="28"/>
      <c r="P30" s="29"/>
    </row>
    <row r="31">
      <c r="A31" s="28"/>
      <c r="B31" s="273" t="s">
        <v>341</v>
      </c>
      <c r="C31" s="274"/>
      <c r="D31" s="274"/>
      <c r="E31" s="274"/>
      <c r="F31" s="275">
        <f t="shared" ref="F31:F38" si="1">G31/$G$38</f>
        <v>0.3871921182</v>
      </c>
      <c r="G31" s="276">
        <f>sum(G32)</f>
        <v>1965000</v>
      </c>
      <c r="H31" s="277"/>
      <c r="J31" s="278"/>
      <c r="K31" s="28"/>
      <c r="L31" s="28"/>
      <c r="M31" s="28"/>
      <c r="N31" s="28"/>
      <c r="O31" s="28"/>
      <c r="P31" s="29"/>
    </row>
    <row r="32">
      <c r="A32" s="28"/>
      <c r="B32" s="279" t="s">
        <v>342</v>
      </c>
      <c r="C32" s="81"/>
      <c r="D32" s="81"/>
      <c r="E32" s="280"/>
      <c r="F32" s="281">
        <f t="shared" si="1"/>
        <v>0.3871921182</v>
      </c>
      <c r="G32" s="282">
        <f>1815000+150000</f>
        <v>1965000</v>
      </c>
      <c r="H32" s="283">
        <v>1075000.0</v>
      </c>
      <c r="J32" s="278"/>
      <c r="K32" s="28"/>
      <c r="L32" s="28"/>
      <c r="M32" s="28"/>
      <c r="N32" s="28"/>
      <c r="O32" s="28"/>
      <c r="P32" s="29"/>
    </row>
    <row r="33">
      <c r="A33" s="28"/>
      <c r="B33" s="273" t="s">
        <v>343</v>
      </c>
      <c r="D33" s="284" t="s">
        <v>344</v>
      </c>
      <c r="E33" s="284" t="s">
        <v>345</v>
      </c>
      <c r="F33" s="275">
        <f t="shared" si="1"/>
        <v>0.4742200328</v>
      </c>
      <c r="G33" s="276">
        <f>G34+G35</f>
        <v>2406666.667</v>
      </c>
      <c r="H33" s="277"/>
      <c r="J33" s="278"/>
      <c r="K33" s="28"/>
      <c r="L33" s="28"/>
      <c r="M33" s="28"/>
      <c r="N33" s="28"/>
      <c r="O33" s="28"/>
      <c r="P33" s="29"/>
    </row>
    <row r="34">
      <c r="A34" s="28"/>
      <c r="B34" s="279" t="s">
        <v>346</v>
      </c>
      <c r="C34" s="280"/>
      <c r="D34" s="285">
        <v>200.0</v>
      </c>
      <c r="E34" s="286">
        <v>0.005</v>
      </c>
      <c r="F34" s="281">
        <f t="shared" si="1"/>
        <v>0.2371100164</v>
      </c>
      <c r="G34" s="282">
        <f t="shared" ref="G34:G35" si="2">1500000-($G$32-$H$32)/3</f>
        <v>1203333.333</v>
      </c>
      <c r="H34" s="287" t="s">
        <v>347</v>
      </c>
      <c r="J34" s="278"/>
      <c r="K34" s="28"/>
      <c r="L34" s="28"/>
      <c r="M34" s="28"/>
      <c r="N34" s="28"/>
      <c r="O34" s="28"/>
      <c r="P34" s="29"/>
    </row>
    <row r="35">
      <c r="A35" s="28"/>
      <c r="B35" s="288" t="s">
        <v>348</v>
      </c>
      <c r="C35" s="289"/>
      <c r="D35" s="290">
        <v>250.0</v>
      </c>
      <c r="E35" s="291">
        <v>0.012</v>
      </c>
      <c r="F35" s="292">
        <f t="shared" si="1"/>
        <v>0.2371100164</v>
      </c>
      <c r="G35" s="282">
        <f t="shared" si="2"/>
        <v>1203333.333</v>
      </c>
      <c r="H35" s="257"/>
      <c r="J35" s="278"/>
      <c r="K35" s="28"/>
      <c r="L35" s="28"/>
      <c r="M35" s="28"/>
      <c r="N35" s="28"/>
      <c r="O35" s="28"/>
      <c r="P35" s="29"/>
    </row>
    <row r="36">
      <c r="A36" s="28"/>
      <c r="B36" s="273" t="s">
        <v>349</v>
      </c>
      <c r="C36" s="274"/>
      <c r="D36" s="274"/>
      <c r="E36" s="274"/>
      <c r="F36" s="275">
        <f t="shared" si="1"/>
        <v>0.1385878489</v>
      </c>
      <c r="G36" s="276">
        <f>G37</f>
        <v>703333.3333</v>
      </c>
      <c r="H36" s="277"/>
      <c r="J36" s="278"/>
      <c r="K36" s="28"/>
      <c r="L36" s="28"/>
      <c r="M36" s="28"/>
      <c r="N36" s="28"/>
      <c r="O36" s="28"/>
      <c r="P36" s="29"/>
    </row>
    <row r="37">
      <c r="A37" s="28"/>
      <c r="B37" s="293" t="s">
        <v>350</v>
      </c>
      <c r="E37" s="233"/>
      <c r="F37" s="294">
        <f t="shared" si="1"/>
        <v>0.1385878489</v>
      </c>
      <c r="G37" s="295">
        <f>1000000-($G$32-$H$32)/3</f>
        <v>703333.3333</v>
      </c>
      <c r="H37" s="296" t="s">
        <v>351</v>
      </c>
      <c r="J37" s="278"/>
      <c r="K37" s="28"/>
      <c r="L37" s="28"/>
      <c r="M37" s="28"/>
      <c r="N37" s="28"/>
      <c r="O37" s="28"/>
      <c r="P37" s="29"/>
    </row>
    <row r="38">
      <c r="A38" s="28"/>
      <c r="B38" s="297" t="s">
        <v>352</v>
      </c>
      <c r="C38" s="298"/>
      <c r="D38" s="298"/>
      <c r="E38" s="298"/>
      <c r="F38" s="299">
        <f t="shared" si="1"/>
        <v>1</v>
      </c>
      <c r="G38" s="300">
        <f>G31+G33+G36</f>
        <v>5075000</v>
      </c>
      <c r="H38" s="301"/>
      <c r="I38" s="271"/>
      <c r="J38" s="272"/>
      <c r="K38" s="28"/>
      <c r="L38" s="28"/>
      <c r="M38" s="28"/>
      <c r="N38" s="28"/>
      <c r="O38" s="28"/>
      <c r="P38" s="29"/>
    </row>
    <row r="39">
      <c r="A39" s="28"/>
      <c r="B39" s="28"/>
      <c r="H39" s="28"/>
      <c r="I39" s="28"/>
      <c r="J39" s="28"/>
      <c r="K39" s="28"/>
      <c r="L39" s="28"/>
      <c r="M39" s="28"/>
      <c r="N39" s="28"/>
      <c r="O39" s="28"/>
      <c r="P39" s="29"/>
    </row>
    <row r="40">
      <c r="A40" s="28"/>
      <c r="B40" s="28"/>
      <c r="H40" s="28"/>
      <c r="I40" s="28"/>
      <c r="J40" s="28"/>
      <c r="K40" s="28"/>
      <c r="L40" s="28"/>
      <c r="M40" s="28"/>
      <c r="N40" s="28"/>
      <c r="O40" s="28"/>
      <c r="P40" s="29"/>
    </row>
    <row r="41">
      <c r="A41" s="28"/>
      <c r="B41" s="28"/>
      <c r="H41" s="28"/>
      <c r="I41" s="28"/>
      <c r="J41" s="28"/>
      <c r="K41" s="28"/>
      <c r="L41" s="28"/>
      <c r="M41" s="28"/>
      <c r="N41" s="28"/>
      <c r="O41" s="28"/>
      <c r="P41" s="29"/>
    </row>
    <row r="42">
      <c r="A42" s="28"/>
      <c r="B42" s="28"/>
      <c r="H42" s="28"/>
      <c r="I42" s="28"/>
      <c r="J42" s="28"/>
      <c r="K42" s="28"/>
      <c r="L42" s="28"/>
      <c r="M42" s="28"/>
      <c r="N42" s="28"/>
      <c r="O42" s="28"/>
      <c r="P42" s="29"/>
    </row>
    <row r="43">
      <c r="A43" s="28"/>
      <c r="B43" s="28"/>
      <c r="H43" s="28"/>
      <c r="I43" s="28"/>
      <c r="J43" s="28"/>
      <c r="K43" s="28"/>
      <c r="L43" s="28"/>
      <c r="M43" s="28"/>
      <c r="N43" s="28"/>
      <c r="O43" s="28"/>
      <c r="P43" s="29"/>
    </row>
    <row r="44">
      <c r="A44" s="28"/>
      <c r="B44" s="28"/>
      <c r="H44" s="28"/>
      <c r="I44" s="28"/>
      <c r="J44" s="28"/>
      <c r="K44" s="28"/>
      <c r="L44" s="28"/>
      <c r="M44" s="28"/>
      <c r="N44" s="28"/>
      <c r="O44" s="28"/>
      <c r="P44" s="29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9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9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9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9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9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9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9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9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9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9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9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9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9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9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9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9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9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9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9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9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9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9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9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9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9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9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9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9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9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9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9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9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9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9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9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9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9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9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9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9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9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9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9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9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9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9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9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9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9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9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9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9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9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9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9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9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9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9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9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9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9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9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9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9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9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9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9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9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9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9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9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9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9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9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9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9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9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9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9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9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9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9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9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9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9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9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9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9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9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9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9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9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9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9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9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9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9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9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9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9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9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9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9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9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9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9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9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9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9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9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9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9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9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9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9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9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9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9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9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9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9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9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9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9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9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9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9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9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9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9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9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9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9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9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9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9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9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9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9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9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9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9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9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9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9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9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9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9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9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9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9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9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9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9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9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9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9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9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9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9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9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9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9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9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9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9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9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9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9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9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9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9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9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9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9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9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9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9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9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9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9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9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9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9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9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9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9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9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9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9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9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9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9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9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9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9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9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9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9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9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9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9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9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9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9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9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9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9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9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9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9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9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9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9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9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9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9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9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9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9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9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9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9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9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9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9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9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9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9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9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9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9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9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9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9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9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9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9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9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9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9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9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9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9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9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9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9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9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9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9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9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9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9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9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9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9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9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9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9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9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9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9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9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9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9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9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9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9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9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9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9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9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9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9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9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9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9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9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9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9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9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9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9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9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9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9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9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9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9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9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9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9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9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9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9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9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9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9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9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9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9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9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9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9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9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9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9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9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9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9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9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9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9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9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9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9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9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9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9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9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9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9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9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9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9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9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9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9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9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9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9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9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9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9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9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9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9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9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9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9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9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9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9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9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9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9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9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9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9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9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9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9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9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9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9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9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9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9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9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9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9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9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9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9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9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9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9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9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9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9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9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9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9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9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9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9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9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9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9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9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9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9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9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9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9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9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9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9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9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9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9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9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9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9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9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9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9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9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9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9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9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9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9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9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9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9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9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9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9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9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9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9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9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9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9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9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9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9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9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9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9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9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9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9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9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9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9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9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9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9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9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9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9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9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9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9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9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9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9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9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9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9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9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9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9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9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9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9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9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9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9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9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9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9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9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9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9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9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9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9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9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9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9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9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9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9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9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9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9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9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9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9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9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9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9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9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9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9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9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9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9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9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9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9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9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9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9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9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9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9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9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9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9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9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9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9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9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9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9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9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9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9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9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9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9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9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9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9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9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9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9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9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9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9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9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9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9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9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9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9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9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9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9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9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9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9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9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9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9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9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9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9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9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9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9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9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9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9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9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9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9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9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9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9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9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9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9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9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9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9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9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9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9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9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9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9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9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9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9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9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9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9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9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9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9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9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9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9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9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9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9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9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9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9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9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9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9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9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9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9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9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9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9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9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9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9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9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9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9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9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9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9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9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9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9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9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9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9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9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9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9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9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9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9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9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9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9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9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9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9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9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9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9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9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9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9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9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9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9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9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9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9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9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9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9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9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9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9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9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9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9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9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9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9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9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9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9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9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9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9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9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9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9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9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9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9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9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9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9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9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9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9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9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9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9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9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9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9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9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9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9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9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9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9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9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9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9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9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9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9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9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9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9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9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9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9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9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9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9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9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9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9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9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9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9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9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9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9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9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9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9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9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9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9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9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9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9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9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9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9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9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9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9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9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9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9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9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9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9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9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9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9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9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9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9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9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9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9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9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9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9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9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9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9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9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9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9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9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9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9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9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9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9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9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9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9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9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9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9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9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9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9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9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9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9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9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9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9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9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9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9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9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9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9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9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9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9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9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9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9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9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9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9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9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9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9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9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9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9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9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9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9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9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9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9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9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9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9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9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9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9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9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9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9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9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9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9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9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9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9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9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9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9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9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9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9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9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9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9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9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9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9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9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9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9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9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9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9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9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9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9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9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9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9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9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9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9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9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9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9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9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9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9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9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9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9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9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9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9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9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9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9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9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9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9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9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9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9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9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9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9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9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9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9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9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9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9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9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9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9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9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9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9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9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9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9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9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9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9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9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9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9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9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9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9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9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9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9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9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9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9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9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9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9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9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9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9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9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9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9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9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9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9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9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9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9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9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9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9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9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9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9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9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9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9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9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9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9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9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9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9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9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9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9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9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9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9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9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9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9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9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9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9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9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9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9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9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9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9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9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9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9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9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9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9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9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9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9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9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9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9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9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9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9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9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9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9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9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9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9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9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9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9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9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9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9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9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9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9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9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9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9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9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9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9"/>
    </row>
  </sheetData>
  <mergeCells count="48">
    <mergeCell ref="B19:B27"/>
    <mergeCell ref="C20:C21"/>
    <mergeCell ref="D20:D21"/>
    <mergeCell ref="C22:C23"/>
    <mergeCell ref="D22:D23"/>
    <mergeCell ref="C24:C25"/>
    <mergeCell ref="D24:D25"/>
    <mergeCell ref="H32:J32"/>
    <mergeCell ref="H33:J33"/>
    <mergeCell ref="H34:J35"/>
    <mergeCell ref="H36:J36"/>
    <mergeCell ref="H37:J37"/>
    <mergeCell ref="H38:J38"/>
    <mergeCell ref="B34:C34"/>
    <mergeCell ref="B35:C35"/>
    <mergeCell ref="B37:E37"/>
    <mergeCell ref="C26:C27"/>
    <mergeCell ref="D26:D27"/>
    <mergeCell ref="F26:F27"/>
    <mergeCell ref="H30:J30"/>
    <mergeCell ref="H31:J31"/>
    <mergeCell ref="B32:E32"/>
    <mergeCell ref="B33:C33"/>
    <mergeCell ref="F2:F3"/>
    <mergeCell ref="F5:F6"/>
    <mergeCell ref="F9:F10"/>
    <mergeCell ref="F11:F12"/>
    <mergeCell ref="F22:F23"/>
    <mergeCell ref="C7:C8"/>
    <mergeCell ref="C9:C10"/>
    <mergeCell ref="D9:D10"/>
    <mergeCell ref="C11:C12"/>
    <mergeCell ref="D11:D12"/>
    <mergeCell ref="C13:C14"/>
    <mergeCell ref="D13:D14"/>
    <mergeCell ref="C15:C16"/>
    <mergeCell ref="D15:D16"/>
    <mergeCell ref="F15:F16"/>
    <mergeCell ref="C17:C18"/>
    <mergeCell ref="D17:D18"/>
    <mergeCell ref="F17:F18"/>
    <mergeCell ref="B2:B3"/>
    <mergeCell ref="C2:C3"/>
    <mergeCell ref="D2:D3"/>
    <mergeCell ref="E2:E3"/>
    <mergeCell ref="B4:B18"/>
    <mergeCell ref="C5:C6"/>
    <mergeCell ref="D5:D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45.13"/>
    <col customWidth="1" min="3" max="3" width="39.0"/>
    <col customWidth="1" min="4" max="4" width="47.0"/>
    <col customWidth="1" min="5" max="5" width="36.75"/>
    <col customWidth="1" min="6" max="6" width="33.0"/>
    <col customWidth="1" min="7" max="7" width="22.5"/>
  </cols>
  <sheetData>
    <row r="1">
      <c r="A1" s="28"/>
      <c r="B1" s="28"/>
      <c r="C1" s="28"/>
      <c r="D1" s="28"/>
      <c r="E1" s="28"/>
      <c r="F1" s="28"/>
      <c r="G1" s="28"/>
      <c r="H1" s="28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2" t="s">
        <v>78</v>
      </c>
      <c r="B2" s="303" t="s">
        <v>353</v>
      </c>
      <c r="C2" s="303" t="s">
        <v>267</v>
      </c>
      <c r="D2" s="303" t="s">
        <v>268</v>
      </c>
      <c r="E2" s="302" t="s">
        <v>267</v>
      </c>
      <c r="F2" s="302" t="s">
        <v>269</v>
      </c>
      <c r="G2" s="208"/>
      <c r="H2" s="304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42"/>
      <c r="B3" s="42"/>
      <c r="C3" s="42"/>
      <c r="D3" s="42"/>
      <c r="E3" s="42"/>
      <c r="F3" s="42"/>
      <c r="G3" s="263"/>
      <c r="H3" s="305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6" t="s">
        <v>354</v>
      </c>
      <c r="B4" s="307"/>
      <c r="C4" s="307"/>
      <c r="D4" s="307"/>
      <c r="E4" s="308"/>
      <c r="F4" s="307"/>
      <c r="G4" s="307"/>
      <c r="H4" s="307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9" t="s">
        <v>355</v>
      </c>
      <c r="B5" s="310" t="s">
        <v>356</v>
      </c>
      <c r="C5" s="222"/>
      <c r="D5" s="223"/>
      <c r="E5" s="311" t="s">
        <v>357</v>
      </c>
      <c r="F5" s="312" t="s">
        <v>279</v>
      </c>
      <c r="G5" s="312" t="s">
        <v>358</v>
      </c>
      <c r="H5" s="312" t="s">
        <v>281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13" t="s">
        <v>359</v>
      </c>
      <c r="B6" s="233"/>
      <c r="C6" s="314" t="s">
        <v>360</v>
      </c>
      <c r="D6" s="315" t="s">
        <v>361</v>
      </c>
      <c r="E6" s="316" t="s">
        <v>362</v>
      </c>
      <c r="F6" s="317" t="s">
        <v>363</v>
      </c>
      <c r="G6" s="318" t="s">
        <v>364</v>
      </c>
      <c r="H6" s="319" t="s">
        <v>365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57"/>
      <c r="B7" s="233"/>
      <c r="C7" s="87"/>
      <c r="D7" s="320" t="s">
        <v>366</v>
      </c>
      <c r="E7" s="321" t="s">
        <v>367</v>
      </c>
      <c r="F7" s="248" t="s">
        <v>368</v>
      </c>
      <c r="G7" s="74"/>
      <c r="H7" s="322" t="s">
        <v>369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11" t="s">
        <v>355</v>
      </c>
      <c r="B8" s="323" t="s">
        <v>370</v>
      </c>
      <c r="C8" s="222"/>
      <c r="D8" s="223"/>
      <c r="E8" s="311" t="s">
        <v>357</v>
      </c>
      <c r="F8" s="312" t="s">
        <v>279</v>
      </c>
      <c r="G8" s="312" t="s">
        <v>358</v>
      </c>
      <c r="H8" s="324" t="s">
        <v>281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13" t="s">
        <v>371</v>
      </c>
      <c r="B9" s="233"/>
      <c r="C9" s="325" t="s">
        <v>372</v>
      </c>
      <c r="D9" s="326" t="s">
        <v>373</v>
      </c>
      <c r="E9" s="316" t="s">
        <v>374</v>
      </c>
      <c r="F9" s="325" t="s">
        <v>375</v>
      </c>
      <c r="G9" s="318" t="s">
        <v>376</v>
      </c>
      <c r="H9" s="327" t="s">
        <v>377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57"/>
      <c r="B10" s="233"/>
      <c r="C10" s="87"/>
      <c r="D10" s="328" t="s">
        <v>378</v>
      </c>
      <c r="E10" s="321" t="s">
        <v>379</v>
      </c>
      <c r="F10" s="102"/>
      <c r="G10" s="72"/>
      <c r="H10" s="3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57"/>
      <c r="B11" s="233"/>
      <c r="C11" s="87"/>
      <c r="D11" s="330" t="s">
        <v>380</v>
      </c>
      <c r="E11" s="321" t="s">
        <v>381</v>
      </c>
      <c r="F11" s="317" t="s">
        <v>382</v>
      </c>
      <c r="G11" s="72"/>
      <c r="H11" s="3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57"/>
      <c r="B12" s="233"/>
      <c r="C12" s="87"/>
      <c r="D12" s="330" t="s">
        <v>383</v>
      </c>
      <c r="E12" s="321" t="s">
        <v>384</v>
      </c>
      <c r="F12" s="317" t="s">
        <v>385</v>
      </c>
      <c r="G12" s="72"/>
      <c r="H12" s="3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57"/>
      <c r="B13" s="233"/>
      <c r="C13" s="87"/>
      <c r="D13" s="331" t="s">
        <v>386</v>
      </c>
      <c r="E13" s="332" t="s">
        <v>387</v>
      </c>
      <c r="F13" s="258" t="s">
        <v>388</v>
      </c>
      <c r="G13" s="74"/>
      <c r="H13" s="333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9" t="s">
        <v>389</v>
      </c>
      <c r="B14" s="334" t="s">
        <v>390</v>
      </c>
      <c r="C14" s="222"/>
      <c r="D14" s="223"/>
      <c r="E14" s="311" t="s">
        <v>357</v>
      </c>
      <c r="F14" s="312" t="s">
        <v>279</v>
      </c>
      <c r="G14" s="312" t="s">
        <v>358</v>
      </c>
      <c r="H14" s="312" t="s">
        <v>281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13" t="s">
        <v>153</v>
      </c>
      <c r="B15" s="233"/>
      <c r="C15" s="325" t="s">
        <v>315</v>
      </c>
      <c r="D15" s="315" t="s">
        <v>391</v>
      </c>
      <c r="E15" s="316" t="s">
        <v>392</v>
      </c>
      <c r="F15" s="317" t="s">
        <v>393</v>
      </c>
      <c r="G15" s="318" t="s">
        <v>393</v>
      </c>
      <c r="H15" s="319" t="s">
        <v>369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35"/>
      <c r="B16" s="280"/>
      <c r="C16" s="102"/>
      <c r="D16" s="320" t="s">
        <v>394</v>
      </c>
      <c r="E16" s="321" t="s">
        <v>395</v>
      </c>
      <c r="F16" s="248" t="s">
        <v>396</v>
      </c>
      <c r="G16" s="72"/>
      <c r="H16" s="336" t="s">
        <v>369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37" t="s">
        <v>397</v>
      </c>
      <c r="B17" s="289"/>
      <c r="C17" s="258" t="s">
        <v>398</v>
      </c>
      <c r="D17" s="320" t="s">
        <v>399</v>
      </c>
      <c r="E17" s="321" t="s">
        <v>400</v>
      </c>
      <c r="F17" s="248" t="s">
        <v>401</v>
      </c>
      <c r="G17" s="72"/>
      <c r="H17" s="336" t="s">
        <v>369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57"/>
      <c r="B18" s="233"/>
      <c r="C18" s="87"/>
      <c r="D18" s="320" t="s">
        <v>402</v>
      </c>
      <c r="E18" s="321" t="s">
        <v>403</v>
      </c>
      <c r="F18" s="317" t="s">
        <v>382</v>
      </c>
      <c r="G18" s="74"/>
      <c r="H18" s="336" t="s">
        <v>404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6" t="s">
        <v>405</v>
      </c>
      <c r="B19" s="307"/>
      <c r="C19" s="307"/>
      <c r="D19" s="307"/>
      <c r="E19" s="308"/>
      <c r="F19" s="307"/>
      <c r="G19" s="307"/>
      <c r="H19" s="307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11" t="s">
        <v>406</v>
      </c>
      <c r="B20" s="338" t="s">
        <v>407</v>
      </c>
      <c r="C20" s="222"/>
      <c r="D20" s="223"/>
      <c r="E20" s="311" t="s">
        <v>357</v>
      </c>
      <c r="F20" s="312" t="s">
        <v>279</v>
      </c>
      <c r="G20" s="312" t="s">
        <v>358</v>
      </c>
      <c r="H20" s="324" t="s">
        <v>281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13" t="s">
        <v>408</v>
      </c>
      <c r="B21" s="233"/>
      <c r="C21" s="325" t="s">
        <v>409</v>
      </c>
      <c r="D21" s="315" t="s">
        <v>410</v>
      </c>
      <c r="E21" s="316" t="s">
        <v>411</v>
      </c>
      <c r="F21" s="317" t="s">
        <v>393</v>
      </c>
      <c r="G21" s="318" t="s">
        <v>412</v>
      </c>
      <c r="H21" s="339" t="s">
        <v>393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57"/>
      <c r="B22" s="233"/>
      <c r="C22" s="87"/>
      <c r="D22" s="340" t="s">
        <v>413</v>
      </c>
      <c r="E22" s="321" t="s">
        <v>414</v>
      </c>
      <c r="F22" s="317" t="s">
        <v>393</v>
      </c>
      <c r="G22" s="72"/>
      <c r="H22" s="341" t="s">
        <v>393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57"/>
      <c r="B23" s="233"/>
      <c r="C23" s="87"/>
      <c r="D23" s="342" t="s">
        <v>415</v>
      </c>
      <c r="E23" s="332" t="s">
        <v>416</v>
      </c>
      <c r="F23" s="258" t="s">
        <v>393</v>
      </c>
      <c r="G23" s="72"/>
      <c r="H23" s="341" t="s">
        <v>393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11" t="s">
        <v>417</v>
      </c>
      <c r="B24" s="334" t="s">
        <v>390</v>
      </c>
      <c r="C24" s="222"/>
      <c r="D24" s="223"/>
      <c r="E24" s="311" t="s">
        <v>357</v>
      </c>
      <c r="F24" s="312" t="s">
        <v>266</v>
      </c>
      <c r="G24" s="72"/>
      <c r="H24" s="312" t="s">
        <v>281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43" t="s">
        <v>418</v>
      </c>
      <c r="B25" s="344"/>
      <c r="C25" s="246" t="s">
        <v>292</v>
      </c>
      <c r="D25" s="345" t="s">
        <v>419</v>
      </c>
      <c r="E25" s="346" t="s">
        <v>420</v>
      </c>
      <c r="F25" s="246" t="s">
        <v>393</v>
      </c>
      <c r="G25" s="72"/>
      <c r="H25" s="339" t="s">
        <v>393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37" t="s">
        <v>421</v>
      </c>
      <c r="B26" s="289"/>
      <c r="C26" s="258" t="s">
        <v>422</v>
      </c>
      <c r="D26" s="342" t="s">
        <v>423</v>
      </c>
      <c r="E26" s="332" t="s">
        <v>424</v>
      </c>
      <c r="F26" s="258" t="s">
        <v>393</v>
      </c>
      <c r="G26" s="72"/>
      <c r="H26" s="341" t="s">
        <v>393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11" t="s">
        <v>417</v>
      </c>
      <c r="B27" s="310" t="s">
        <v>356</v>
      </c>
      <c r="C27" s="222"/>
      <c r="D27" s="223"/>
      <c r="E27" s="311" t="s">
        <v>357</v>
      </c>
      <c r="F27" s="312" t="s">
        <v>266</v>
      </c>
      <c r="G27" s="72"/>
      <c r="H27" s="312" t="s">
        <v>281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13" t="s">
        <v>425</v>
      </c>
      <c r="B28" s="233"/>
      <c r="C28" s="325" t="s">
        <v>289</v>
      </c>
      <c r="D28" s="347" t="s">
        <v>346</v>
      </c>
      <c r="E28" s="316" t="s">
        <v>426</v>
      </c>
      <c r="F28" s="317" t="s">
        <v>393</v>
      </c>
      <c r="G28" s="72"/>
      <c r="H28" s="339" t="s">
        <v>393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63"/>
      <c r="B29" s="348"/>
      <c r="C29" s="264"/>
      <c r="D29" s="349" t="s">
        <v>427</v>
      </c>
      <c r="E29" s="350" t="s">
        <v>428</v>
      </c>
      <c r="F29" s="266" t="s">
        <v>429</v>
      </c>
      <c r="G29" s="351"/>
      <c r="H29" s="352" t="s">
        <v>429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8"/>
      <c r="B30" s="28"/>
      <c r="C30" s="28"/>
      <c r="D30" s="28"/>
      <c r="E30" s="28"/>
      <c r="F30" s="28"/>
      <c r="G30" s="28"/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</sheetData>
  <mergeCells count="27">
    <mergeCell ref="A2:A3"/>
    <mergeCell ref="B2:B3"/>
    <mergeCell ref="C2:C3"/>
    <mergeCell ref="D2:D3"/>
    <mergeCell ref="E2:E3"/>
    <mergeCell ref="F2:F3"/>
    <mergeCell ref="G2:H3"/>
    <mergeCell ref="A9:B13"/>
    <mergeCell ref="A15:B16"/>
    <mergeCell ref="C15:C16"/>
    <mergeCell ref="A6:B7"/>
    <mergeCell ref="A17:B18"/>
    <mergeCell ref="A21:B23"/>
    <mergeCell ref="C21:C23"/>
    <mergeCell ref="A25:B25"/>
    <mergeCell ref="A26:B26"/>
    <mergeCell ref="A28:B29"/>
    <mergeCell ref="C28:C29"/>
    <mergeCell ref="G15:G18"/>
    <mergeCell ref="G21:G29"/>
    <mergeCell ref="C6:C7"/>
    <mergeCell ref="G6:G7"/>
    <mergeCell ref="C9:C13"/>
    <mergeCell ref="F9:F10"/>
    <mergeCell ref="G9:G13"/>
    <mergeCell ref="H9:H13"/>
    <mergeCell ref="C17:C18"/>
  </mergeCells>
  <drawing r:id="rId1"/>
</worksheet>
</file>